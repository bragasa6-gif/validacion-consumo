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cargillonline-my.sharepoint.com/personal/franzrafael_novillotorres_cargill_com/Documents/Desktop/"/>
    </mc:Choice>
  </mc:AlternateContent>
  <xr:revisionPtr revIDLastSave="211" documentId="8_{258DE0A1-5E2C-419A-85A2-D2FA8791E7A0}" xr6:coauthVersionLast="47" xr6:coauthVersionMax="47" xr10:uidLastSave="{63738E48-67E8-4EA2-B66B-EDCFA30AE164}"/>
  <bookViews>
    <workbookView xWindow="-110" yWindow="-110" windowWidth="19420" windowHeight="10300" xr2:uid="{AE97F543-3E9D-4EB1-B8B8-368820BCDAD0}"/>
  </bookViews>
  <sheets>
    <sheet name="VALIDACIÓN " sheetId="42" r:id="rId1"/>
    <sheet name="Resumen" sheetId="37" r:id="rId2"/>
    <sheet name="Tabla" sheetId="38" r:id="rId3"/>
  </sheets>
  <externalReferences>
    <externalReference r:id="rId4"/>
  </externalReferences>
  <definedNames>
    <definedName name="_xlnm._FilterDatabase" localSheetId="0" hidden="1">'VALIDACIÓN '!$A$2:$BF$2</definedName>
    <definedName name="caracteristica_textura">[1]!t_caracteristica_camaron[caracteristica]</definedName>
    <definedName name="color_heces">[1]!t_colorheces[color_heces]</definedName>
    <definedName name="protocolo">[1]listas!$DP$2:$DP$3</definedName>
    <definedName name="rpm">[1]listas!$FH$2:$FH$10</definedName>
    <definedName name="SegmentaciónDeDatos_Fecha">#N/A</definedName>
    <definedName name="SegmentaciónDeDatos_Marca_Alimento">#N/A</definedName>
    <definedName name="SegmentaciónDeDatos_Psc">#N/A</definedName>
    <definedName name="si_no">[1]!t_sino[si_no]</definedName>
    <definedName name="unidad_medida">[1]listas!$DN$2:$DN$3</definedName>
  </definedNames>
  <calcPr calcId="191028"/>
  <pivotCaches>
    <pivotCache cacheId="2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9" i="42" l="1"/>
  <c r="S20" i="42"/>
  <c r="G20" i="42" s="1"/>
  <c r="S21" i="42"/>
  <c r="S22" i="42"/>
  <c r="S23" i="42"/>
  <c r="P23" i="42" s="1"/>
  <c r="S24" i="42"/>
  <c r="S25" i="42"/>
  <c r="S26" i="42"/>
  <c r="S27" i="42"/>
  <c r="AS12" i="42"/>
  <c r="AS13" i="42"/>
  <c r="AS14" i="42"/>
  <c r="AS15" i="42"/>
  <c r="AS16" i="42"/>
  <c r="AS17" i="42"/>
  <c r="AZ20" i="42"/>
  <c r="AZ21" i="42"/>
  <c r="AZ22" i="42"/>
  <c r="AZ23" i="42"/>
  <c r="AZ24" i="42"/>
  <c r="AZ25" i="42"/>
  <c r="AZ26" i="42"/>
  <c r="AZ27" i="42"/>
  <c r="AZ19" i="42"/>
  <c r="AW19" i="42"/>
  <c r="AX19" i="42" s="1"/>
  <c r="AY19" i="42" s="1"/>
  <c r="AW20" i="42"/>
  <c r="AX20" i="42"/>
  <c r="AY20" i="42"/>
  <c r="AW21" i="42"/>
  <c r="AX21" i="42" s="1"/>
  <c r="AY21" i="42" s="1"/>
  <c r="AW22" i="42"/>
  <c r="AX22" i="42"/>
  <c r="AY22" i="42"/>
  <c r="AW23" i="42"/>
  <c r="AX23" i="42" s="1"/>
  <c r="AY23" i="42" s="1"/>
  <c r="AW24" i="42"/>
  <c r="AX24" i="42"/>
  <c r="AY24" i="42" s="1"/>
  <c r="AW25" i="42"/>
  <c r="AX25" i="42"/>
  <c r="AY25" i="42" s="1"/>
  <c r="AW26" i="42"/>
  <c r="AX26" i="42"/>
  <c r="AY26" i="42" s="1"/>
  <c r="AW27" i="42"/>
  <c r="AX27" i="42" s="1"/>
  <c r="AY27" i="42" s="1"/>
  <c r="I18" i="42"/>
  <c r="I19" i="42" s="1"/>
  <c r="I20" i="42" s="1"/>
  <c r="I21" i="42" s="1"/>
  <c r="I22" i="42" s="1"/>
  <c r="I23" i="42" s="1"/>
  <c r="I24" i="42" s="1"/>
  <c r="I25" i="42" s="1"/>
  <c r="I26" i="42" s="1"/>
  <c r="I27" i="42" s="1"/>
  <c r="E19" i="42"/>
  <c r="F19" i="42" s="1"/>
  <c r="O19" i="42"/>
  <c r="O20" i="42"/>
  <c r="O21" i="42"/>
  <c r="O22" i="42"/>
  <c r="O23" i="42"/>
  <c r="O24" i="42"/>
  <c r="O25" i="42"/>
  <c r="O26" i="42"/>
  <c r="O27" i="42"/>
  <c r="P21" i="42"/>
  <c r="P22" i="42"/>
  <c r="G19" i="42"/>
  <c r="G21" i="42"/>
  <c r="G22" i="42"/>
  <c r="G23" i="42"/>
  <c r="G24" i="42"/>
  <c r="G25" i="42"/>
  <c r="P26" i="42"/>
  <c r="T19" i="42"/>
  <c r="T20" i="42"/>
  <c r="T21" i="42"/>
  <c r="T22" i="42"/>
  <c r="T23" i="42"/>
  <c r="T24" i="42"/>
  <c r="T25" i="42"/>
  <c r="T26" i="42"/>
  <c r="T27" i="42"/>
  <c r="W19" i="42"/>
  <c r="W20" i="42"/>
  <c r="W21" i="42"/>
  <c r="W22" i="42"/>
  <c r="W23" i="42"/>
  <c r="W24" i="42"/>
  <c r="W25" i="42"/>
  <c r="W26" i="42"/>
  <c r="W27" i="42"/>
  <c r="Z19" i="42"/>
  <c r="Z20" i="42"/>
  <c r="Z21" i="42"/>
  <c r="Z22" i="42"/>
  <c r="Z23" i="42"/>
  <c r="AC23" i="42" s="1"/>
  <c r="Z24" i="42"/>
  <c r="AC24" i="42" s="1"/>
  <c r="Z25" i="42"/>
  <c r="Z26" i="42"/>
  <c r="AC26" i="42" s="1"/>
  <c r="Z27" i="42"/>
  <c r="AC27" i="42" s="1"/>
  <c r="AB27" i="42" s="1"/>
  <c r="AA19" i="42"/>
  <c r="AI19" i="42" s="1"/>
  <c r="AP19" i="42" s="1"/>
  <c r="AA20" i="42"/>
  <c r="AI20" i="42" s="1"/>
  <c r="AP20" i="42" s="1"/>
  <c r="AA21" i="42"/>
  <c r="AA22" i="42"/>
  <c r="AA23" i="42"/>
  <c r="AD23" i="42" s="1"/>
  <c r="AA24" i="42"/>
  <c r="AD24" i="42" s="1"/>
  <c r="AA25" i="42"/>
  <c r="AD25" i="42" s="1"/>
  <c r="AA26" i="42"/>
  <c r="AA27" i="42"/>
  <c r="AI27" i="42" s="1"/>
  <c r="AP27" i="42" s="1"/>
  <c r="AB25" i="42"/>
  <c r="AC20" i="42"/>
  <c r="AB20" i="42" s="1"/>
  <c r="AC21" i="42"/>
  <c r="AN21" i="42" s="1"/>
  <c r="AC22" i="42"/>
  <c r="AB22" i="42" s="1"/>
  <c r="AC25" i="42"/>
  <c r="AN25" i="42" s="1"/>
  <c r="AD21" i="42"/>
  <c r="AD22" i="42"/>
  <c r="AD26" i="42"/>
  <c r="AD27" i="42"/>
  <c r="AH20" i="42"/>
  <c r="AG20" i="42" s="1"/>
  <c r="AH21" i="42"/>
  <c r="AG21" i="42" s="1"/>
  <c r="AH22" i="42"/>
  <c r="AG22" i="42" s="1"/>
  <c r="AH25" i="42"/>
  <c r="AO25" i="42" s="1"/>
  <c r="BE25" i="42" s="1"/>
  <c r="AH26" i="42"/>
  <c r="AG26" i="42" s="1"/>
  <c r="AH27" i="42"/>
  <c r="AG27" i="42" s="1"/>
  <c r="AI21" i="42"/>
  <c r="AP21" i="42" s="1"/>
  <c r="AI22" i="42"/>
  <c r="AI23" i="42"/>
  <c r="AP23" i="42" s="1"/>
  <c r="AI25" i="42"/>
  <c r="AP25" i="42" s="1"/>
  <c r="AI26" i="42"/>
  <c r="AP26" i="42" s="1"/>
  <c r="AJ19" i="42"/>
  <c r="AL19" i="42" s="1"/>
  <c r="BC19" i="42" s="1"/>
  <c r="BD19" i="42" s="1"/>
  <c r="AJ20" i="42"/>
  <c r="AL20" i="42" s="1"/>
  <c r="BC20" i="42" s="1"/>
  <c r="BD20" i="42" s="1"/>
  <c r="AJ21" i="42"/>
  <c r="AL21" i="42" s="1"/>
  <c r="BC21" i="42" s="1"/>
  <c r="BD21" i="42" s="1"/>
  <c r="AJ22" i="42"/>
  <c r="AL22" i="42" s="1"/>
  <c r="BC22" i="42" s="1"/>
  <c r="BD22" i="42" s="1"/>
  <c r="AJ23" i="42"/>
  <c r="AL23" i="42" s="1"/>
  <c r="BC23" i="42" s="1"/>
  <c r="BD23" i="42" s="1"/>
  <c r="AJ24" i="42"/>
  <c r="AL24" i="42" s="1"/>
  <c r="BC24" i="42" s="1"/>
  <c r="BD24" i="42" s="1"/>
  <c r="AJ25" i="42"/>
  <c r="AL25" i="42" s="1"/>
  <c r="BC25" i="42" s="1"/>
  <c r="BD25" i="42" s="1"/>
  <c r="AJ26" i="42"/>
  <c r="AL26" i="42" s="1"/>
  <c r="BC26" i="42" s="1"/>
  <c r="BD26" i="42" s="1"/>
  <c r="AJ27" i="42"/>
  <c r="AL27" i="42" s="1"/>
  <c r="BC27" i="42" s="1"/>
  <c r="BD27" i="42" s="1"/>
  <c r="AO26" i="42"/>
  <c r="BE26" i="42" s="1"/>
  <c r="AP22" i="42"/>
  <c r="AO22" i="42" l="1"/>
  <c r="BE22" i="42" s="1"/>
  <c r="AO21" i="42"/>
  <c r="BE21" i="42" s="1"/>
  <c r="K23" i="42"/>
  <c r="AS23" i="42" s="1"/>
  <c r="AF23" i="42"/>
  <c r="AE23" i="42" s="1"/>
  <c r="AR23" i="42"/>
  <c r="AF19" i="42"/>
  <c r="AE19" i="42" s="1"/>
  <c r="AR19" i="42"/>
  <c r="AM19" i="42"/>
  <c r="K19" i="42"/>
  <c r="AS19" i="42" s="1"/>
  <c r="AR24" i="42"/>
  <c r="AF24" i="42"/>
  <c r="AE24" i="42" s="1"/>
  <c r="AM24" i="42"/>
  <c r="Q24" i="42"/>
  <c r="AN26" i="42"/>
  <c r="AB26" i="42"/>
  <c r="Q19" i="42"/>
  <c r="AH24" i="42"/>
  <c r="AB21" i="42"/>
  <c r="Q27" i="42"/>
  <c r="AD19" i="42"/>
  <c r="Y19" i="42"/>
  <c r="AH19" i="42"/>
  <c r="AG19" i="42" s="1"/>
  <c r="L26" i="42"/>
  <c r="J26" i="42" s="1"/>
  <c r="L25" i="42"/>
  <c r="J25" i="42" s="1"/>
  <c r="L24" i="42"/>
  <c r="J24" i="42" s="1"/>
  <c r="E20" i="42"/>
  <c r="L22" i="42"/>
  <c r="J22" i="42" s="1"/>
  <c r="AF27" i="42"/>
  <c r="AE27" i="42" s="1"/>
  <c r="AR27" i="42"/>
  <c r="K27" i="42"/>
  <c r="AS27" i="42" s="1"/>
  <c r="L27" i="42"/>
  <c r="J27" i="42" s="1"/>
  <c r="AM27" i="42"/>
  <c r="Y22" i="42"/>
  <c r="AM22" i="42"/>
  <c r="AF22" i="42"/>
  <c r="AE22" i="42" s="1"/>
  <c r="Q22" i="42"/>
  <c r="AR22" i="42"/>
  <c r="K22" i="42"/>
  <c r="AS22" i="42" s="1"/>
  <c r="AF26" i="42"/>
  <c r="AE26" i="42" s="1"/>
  <c r="K26" i="42"/>
  <c r="AS26" i="42" s="1"/>
  <c r="AR26" i="42"/>
  <c r="AM26" i="42"/>
  <c r="Y26" i="42"/>
  <c r="Q26" i="42"/>
  <c r="AN24" i="42"/>
  <c r="AB24" i="42"/>
  <c r="AM20" i="42"/>
  <c r="K20" i="42"/>
  <c r="AS20" i="42" s="1"/>
  <c r="AR20" i="42"/>
  <c r="AF20" i="42"/>
  <c r="AE20" i="42" s="1"/>
  <c r="AR25" i="42"/>
  <c r="K25" i="42"/>
  <c r="AS25" i="42" s="1"/>
  <c r="AM25" i="42"/>
  <c r="AF25" i="42"/>
  <c r="AE25" i="42" s="1"/>
  <c r="AB23" i="42"/>
  <c r="AN23" i="42"/>
  <c r="AM21" i="42"/>
  <c r="AR21" i="42"/>
  <c r="AF21" i="42"/>
  <c r="AE21" i="42" s="1"/>
  <c r="L21" i="42"/>
  <c r="J21" i="42" s="1"/>
  <c r="K21" i="42"/>
  <c r="AS21" i="42" s="1"/>
  <c r="AN20" i="42"/>
  <c r="P25" i="42"/>
  <c r="L23" i="42"/>
  <c r="J23" i="42" s="1"/>
  <c r="AO20" i="42"/>
  <c r="BE20" i="42" s="1"/>
  <c r="AG25" i="42"/>
  <c r="Q25" i="42"/>
  <c r="P24" i="42"/>
  <c r="AI24" i="42"/>
  <c r="AP24" i="42" s="1"/>
  <c r="AH23" i="42"/>
  <c r="G27" i="42"/>
  <c r="AD20" i="42"/>
  <c r="AC19" i="42"/>
  <c r="Y27" i="42"/>
  <c r="Q23" i="42"/>
  <c r="AN27" i="42"/>
  <c r="Y25" i="42"/>
  <c r="Q21" i="42"/>
  <c r="P20" i="42"/>
  <c r="G26" i="42"/>
  <c r="AO27" i="42"/>
  <c r="BE27" i="42" s="1"/>
  <c r="Y24" i="42"/>
  <c r="Q20" i="42"/>
  <c r="P19" i="42"/>
  <c r="Y23" i="42"/>
  <c r="AM23" i="42"/>
  <c r="Y21" i="42"/>
  <c r="AN22" i="42"/>
  <c r="Y20" i="42"/>
  <c r="P27" i="42"/>
  <c r="K24" i="42"/>
  <c r="AS24" i="42" s="1"/>
  <c r="AO24" i="42" l="1"/>
  <c r="BE24" i="42" s="1"/>
  <c r="AG24" i="42"/>
  <c r="AO19" i="42"/>
  <c r="BE19" i="42" s="1"/>
  <c r="E21" i="42"/>
  <c r="F20" i="42"/>
  <c r="AB19" i="42"/>
  <c r="AN19" i="42"/>
  <c r="AO23" i="42"/>
  <c r="BE23" i="42" s="1"/>
  <c r="AG23" i="42"/>
  <c r="E22" i="42" l="1"/>
  <c r="F21" i="42"/>
  <c r="E23" i="42" l="1"/>
  <c r="F22" i="42"/>
  <c r="AW11" i="42"/>
  <c r="AX11" i="42" s="1"/>
  <c r="AY11" i="42" s="1"/>
  <c r="AW4" i="42"/>
  <c r="AX4" i="42" s="1"/>
  <c r="AY4" i="42" s="1"/>
  <c r="AW5" i="42"/>
  <c r="AX5" i="42" s="1"/>
  <c r="AY5" i="42" s="1"/>
  <c r="AW6" i="42"/>
  <c r="AX6" i="42" s="1"/>
  <c r="AY6" i="42" s="1"/>
  <c r="AW7" i="42"/>
  <c r="AX7" i="42" s="1"/>
  <c r="AY7" i="42" s="1"/>
  <c r="AW8" i="42"/>
  <c r="AX8" i="42" s="1"/>
  <c r="AY8" i="42" s="1"/>
  <c r="AW9" i="42"/>
  <c r="AX9" i="42" s="1"/>
  <c r="AY9" i="42" s="1"/>
  <c r="AW10" i="42"/>
  <c r="AX10" i="42" s="1"/>
  <c r="AY10" i="42" s="1"/>
  <c r="AW3" i="42"/>
  <c r="AX3" i="42" s="1"/>
  <c r="AY3" i="42" s="1"/>
  <c r="AW12" i="42"/>
  <c r="AX12" i="42" s="1"/>
  <c r="AY12" i="42" s="1"/>
  <c r="AW13" i="42"/>
  <c r="AX13" i="42" s="1"/>
  <c r="AY13" i="42" s="1"/>
  <c r="AW14" i="42"/>
  <c r="AX14" i="42" s="1"/>
  <c r="AY14" i="42" s="1"/>
  <c r="AW15" i="42"/>
  <c r="AX15" i="42" s="1"/>
  <c r="AY15" i="42" s="1"/>
  <c r="AW16" i="42"/>
  <c r="AX16" i="42" s="1"/>
  <c r="AY16" i="42" s="1"/>
  <c r="AW17" i="42"/>
  <c r="AX17" i="42" s="1"/>
  <c r="AY17" i="42" s="1"/>
  <c r="AW18" i="42"/>
  <c r="AX18" i="42" s="1"/>
  <c r="AY18" i="42" s="1"/>
  <c r="AZ12" i="42"/>
  <c r="O11" i="42"/>
  <c r="O12" i="42"/>
  <c r="O13" i="42"/>
  <c r="O14" i="42"/>
  <c r="O15" i="42"/>
  <c r="O16" i="42"/>
  <c r="O17" i="42"/>
  <c r="L19" i="42" s="1"/>
  <c r="J19" i="42" s="1"/>
  <c r="O9" i="42"/>
  <c r="E12" i="42"/>
  <c r="E13" i="42" s="1"/>
  <c r="E14" i="42" s="1"/>
  <c r="S12" i="42"/>
  <c r="T12" i="42"/>
  <c r="W12" i="42"/>
  <c r="Z12" i="42"/>
  <c r="AC12" i="42" s="1"/>
  <c r="AA12" i="42"/>
  <c r="AD12" i="42" s="1"/>
  <c r="AJ12" i="42"/>
  <c r="AL12" i="42" s="1"/>
  <c r="S13" i="42"/>
  <c r="G13" i="42" s="1"/>
  <c r="T13" i="42"/>
  <c r="W13" i="42"/>
  <c r="Z13" i="42"/>
  <c r="AC13" i="42" s="1"/>
  <c r="AA13" i="42"/>
  <c r="AD13" i="42" s="1"/>
  <c r="AJ13" i="42"/>
  <c r="AL13" i="42" s="1"/>
  <c r="S14" i="42"/>
  <c r="P14" i="42" s="1"/>
  <c r="T14" i="42"/>
  <c r="W14" i="42"/>
  <c r="Z14" i="42"/>
  <c r="AC14" i="42" s="1"/>
  <c r="AA14" i="42"/>
  <c r="AI14" i="42" s="1"/>
  <c r="AP14" i="42" s="1"/>
  <c r="AJ14" i="42"/>
  <c r="AL14" i="42" s="1"/>
  <c r="S15" i="42"/>
  <c r="T15" i="42"/>
  <c r="W15" i="42"/>
  <c r="Z15" i="42"/>
  <c r="AC15" i="42" s="1"/>
  <c r="AN15" i="42" s="1"/>
  <c r="AA15" i="42"/>
  <c r="AD15" i="42" s="1"/>
  <c r="AJ15" i="42"/>
  <c r="AL15" i="42" s="1"/>
  <c r="BC15" i="42" s="1"/>
  <c r="S16" i="42"/>
  <c r="T16" i="42"/>
  <c r="W16" i="42"/>
  <c r="Z16" i="42"/>
  <c r="AC16" i="42" s="1"/>
  <c r="AA16" i="42"/>
  <c r="AD16" i="42" s="1"/>
  <c r="AJ16" i="42"/>
  <c r="AL16" i="42" s="1"/>
  <c r="S17" i="42"/>
  <c r="T17" i="42"/>
  <c r="W17" i="42"/>
  <c r="Z17" i="42"/>
  <c r="AC17" i="42" s="1"/>
  <c r="AA17" i="42"/>
  <c r="AD17" i="42" s="1"/>
  <c r="AJ17" i="42"/>
  <c r="AL17" i="42" s="1"/>
  <c r="K17" i="42" s="1"/>
  <c r="I11" i="42"/>
  <c r="I12" i="42" s="1"/>
  <c r="I13" i="42" s="1"/>
  <c r="I14" i="42" s="1"/>
  <c r="I15" i="42" s="1"/>
  <c r="I16" i="42" s="1"/>
  <c r="I17" i="42" s="1"/>
  <c r="I6" i="42"/>
  <c r="I5" i="42"/>
  <c r="I4" i="42"/>
  <c r="F23" i="42" l="1"/>
  <c r="E24" i="42"/>
  <c r="Q17" i="42"/>
  <c r="K14" i="42"/>
  <c r="AM14" i="42"/>
  <c r="Q12" i="42"/>
  <c r="L14" i="42"/>
  <c r="J14" i="42" s="1"/>
  <c r="AI15" i="42"/>
  <c r="AP15" i="42" s="1"/>
  <c r="K13" i="42"/>
  <c r="L13" i="42"/>
  <c r="J13" i="42" s="1"/>
  <c r="AM13" i="42"/>
  <c r="L12" i="42"/>
  <c r="J12" i="42" s="1"/>
  <c r="Q16" i="42"/>
  <c r="AI16" i="42"/>
  <c r="AP16" i="42" s="1"/>
  <c r="AH15" i="42"/>
  <c r="AG15" i="42" s="1"/>
  <c r="F12" i="42"/>
  <c r="K12" i="42"/>
  <c r="K15" i="42"/>
  <c r="L17" i="42"/>
  <c r="J17" i="42" s="1"/>
  <c r="AD14" i="42"/>
  <c r="BC17" i="42"/>
  <c r="BD17" i="42" s="1"/>
  <c r="L16" i="42"/>
  <c r="J16" i="42" s="1"/>
  <c r="AH17" i="42"/>
  <c r="AO17" i="42" s="1"/>
  <c r="BE17" i="42" s="1"/>
  <c r="BC16" i="42"/>
  <c r="BD16" i="42" s="1"/>
  <c r="K16" i="42"/>
  <c r="L15" i="42"/>
  <c r="J15" i="42" s="1"/>
  <c r="BC14" i="42"/>
  <c r="BD14" i="42" s="1"/>
  <c r="BC12" i="42"/>
  <c r="BD12" i="42" s="1"/>
  <c r="Q14" i="42"/>
  <c r="BC13" i="42"/>
  <c r="BD13" i="42" s="1"/>
  <c r="Q15" i="42"/>
  <c r="Q13" i="42"/>
  <c r="AH12" i="42"/>
  <c r="AG12" i="42" s="1"/>
  <c r="G14" i="42"/>
  <c r="P13" i="42"/>
  <c r="Y13" i="42"/>
  <c r="F14" i="42"/>
  <c r="E15" i="42"/>
  <c r="F13" i="42"/>
  <c r="Y14" i="42"/>
  <c r="AF13" i="42"/>
  <c r="AE13" i="42" s="1"/>
  <c r="AN13" i="42"/>
  <c r="AB13" i="42"/>
  <c r="AM12" i="42"/>
  <c r="AR12" i="42"/>
  <c r="AF12" i="42"/>
  <c r="AE12" i="42" s="1"/>
  <c r="AB12" i="42"/>
  <c r="AN12" i="42"/>
  <c r="AN14" i="42"/>
  <c r="AB14" i="42"/>
  <c r="Y12" i="42"/>
  <c r="AH14" i="42"/>
  <c r="AI13" i="42"/>
  <c r="AP13" i="42" s="1"/>
  <c r="AH13" i="42"/>
  <c r="AI12" i="42"/>
  <c r="AP12" i="42" s="1"/>
  <c r="P12" i="42"/>
  <c r="AR14" i="42"/>
  <c r="AR13" i="42"/>
  <c r="AF14" i="42"/>
  <c r="AE14" i="42" s="1"/>
  <c r="G12" i="42"/>
  <c r="AM15" i="42"/>
  <c r="BD15" i="42"/>
  <c r="AR15" i="42"/>
  <c r="AF15" i="42"/>
  <c r="AE15" i="42" s="1"/>
  <c r="Y15" i="42"/>
  <c r="P15" i="42"/>
  <c r="AB15" i="42"/>
  <c r="G15" i="42"/>
  <c r="AN16" i="42"/>
  <c r="AB16" i="42"/>
  <c r="AM16" i="42"/>
  <c r="AR16" i="42"/>
  <c r="AF16" i="42"/>
  <c r="AE16" i="42" s="1"/>
  <c r="Y16" i="42"/>
  <c r="P16" i="42"/>
  <c r="AH16" i="42"/>
  <c r="AI17" i="42"/>
  <c r="AP17" i="42" s="1"/>
  <c r="G16" i="42"/>
  <c r="AM17" i="42"/>
  <c r="AR17" i="42"/>
  <c r="AF17" i="42"/>
  <c r="AE17" i="42" s="1"/>
  <c r="AN17" i="42"/>
  <c r="AB17" i="42"/>
  <c r="Y17" i="42"/>
  <c r="P17" i="42"/>
  <c r="G17" i="42"/>
  <c r="S4" i="42"/>
  <c r="S5" i="42"/>
  <c r="S6" i="42"/>
  <c r="S7" i="42"/>
  <c r="P7" i="42" s="1"/>
  <c r="S8" i="42"/>
  <c r="G8" i="42" s="1"/>
  <c r="S9" i="42"/>
  <c r="G9" i="42" s="1"/>
  <c r="S10" i="42"/>
  <c r="P10" i="42" s="1"/>
  <c r="S11" i="42"/>
  <c r="P11" i="42" s="1"/>
  <c r="S18" i="42"/>
  <c r="S3" i="42"/>
  <c r="G3" i="42" s="1"/>
  <c r="I3" i="42"/>
  <c r="I7" i="42" s="1"/>
  <c r="I8" i="42" s="1"/>
  <c r="I9" i="42" s="1"/>
  <c r="I10" i="42" s="1"/>
  <c r="Z4" i="42"/>
  <c r="AC4" i="42" s="1"/>
  <c r="Z5" i="42"/>
  <c r="AC5" i="42" s="1"/>
  <c r="Z6" i="42"/>
  <c r="AC6" i="42" s="1"/>
  <c r="Z7" i="42"/>
  <c r="AC7" i="42" s="1"/>
  <c r="Z8" i="42"/>
  <c r="AC8" i="42" s="1"/>
  <c r="Z9" i="42"/>
  <c r="AC9" i="42" s="1"/>
  <c r="AB9" i="42" s="1"/>
  <c r="Z10" i="42"/>
  <c r="AC10" i="42" s="1"/>
  <c r="AN10" i="42" s="1"/>
  <c r="Z11" i="42"/>
  <c r="Z18" i="42"/>
  <c r="Z3" i="42"/>
  <c r="AC3" i="42" s="1"/>
  <c r="AN3" i="42" s="1"/>
  <c r="AA4" i="42"/>
  <c r="AI4" i="42" s="1"/>
  <c r="AA5" i="42"/>
  <c r="AI5" i="42" s="1"/>
  <c r="AA6" i="42"/>
  <c r="AI6" i="42" s="1"/>
  <c r="AA7" i="42"/>
  <c r="AI7" i="42" s="1"/>
  <c r="AA8" i="42"/>
  <c r="AD8" i="42" s="1"/>
  <c r="AA9" i="42"/>
  <c r="AI9" i="42" s="1"/>
  <c r="AA10" i="42"/>
  <c r="AD10" i="42" s="1"/>
  <c r="AA11" i="42"/>
  <c r="AI11" i="42" s="1"/>
  <c r="AA18" i="42"/>
  <c r="AI18" i="42" s="1"/>
  <c r="AA3" i="42"/>
  <c r="AD3" i="42" s="1"/>
  <c r="L4" i="38"/>
  <c r="L5" i="38"/>
  <c r="L6" i="38"/>
  <c r="L3" i="38"/>
  <c r="W6" i="42"/>
  <c r="P4" i="42"/>
  <c r="P5" i="42"/>
  <c r="F6" i="42"/>
  <c r="F7" i="42"/>
  <c r="F8" i="42"/>
  <c r="F9" i="42"/>
  <c r="F10" i="42"/>
  <c r="F11" i="42"/>
  <c r="F18" i="42"/>
  <c r="AZ5" i="42"/>
  <c r="AZ6" i="42"/>
  <c r="AZ7" i="42"/>
  <c r="AZ8" i="42"/>
  <c r="AZ9" i="42"/>
  <c r="AZ10" i="42"/>
  <c r="AZ4" i="42"/>
  <c r="O18" i="42"/>
  <c r="L20" i="42" s="1"/>
  <c r="J20" i="42" s="1"/>
  <c r="T18" i="42"/>
  <c r="W18" i="42"/>
  <c r="AJ18" i="42"/>
  <c r="T11" i="42"/>
  <c r="W11" i="42"/>
  <c r="AJ11" i="42"/>
  <c r="T10" i="42"/>
  <c r="W10" i="42"/>
  <c r="AJ10" i="42"/>
  <c r="AL10" i="42" s="1"/>
  <c r="T9" i="42"/>
  <c r="W9" i="42"/>
  <c r="AJ9" i="42"/>
  <c r="AL9" i="42" s="1"/>
  <c r="BC9" i="42" s="1"/>
  <c r="BD9" i="42" s="1"/>
  <c r="O8" i="42"/>
  <c r="T8" i="42"/>
  <c r="W8" i="42"/>
  <c r="AJ8" i="42"/>
  <c r="AL8" i="42" s="1"/>
  <c r="AR8" i="42" s="1"/>
  <c r="AJ7" i="42"/>
  <c r="AL7" i="42" s="1"/>
  <c r="AM7" i="42" s="1"/>
  <c r="W7" i="42"/>
  <c r="T7" i="42"/>
  <c r="O7" i="42"/>
  <c r="AJ6" i="42"/>
  <c r="AL6" i="42" s="1"/>
  <c r="AR6" i="42" s="1"/>
  <c r="T6" i="42"/>
  <c r="O6" i="42"/>
  <c r="AJ5" i="42"/>
  <c r="AL5" i="42" s="1"/>
  <c r="W5" i="42"/>
  <c r="T5" i="42"/>
  <c r="O5" i="42"/>
  <c r="F5" i="42"/>
  <c r="AJ4" i="42"/>
  <c r="AL4" i="42" s="1"/>
  <c r="L4" i="42" s="1"/>
  <c r="W4" i="42"/>
  <c r="T4" i="42"/>
  <c r="O4" i="42"/>
  <c r="F4" i="42"/>
  <c r="AJ3" i="42"/>
  <c r="AL3" i="42" s="1"/>
  <c r="AM3" i="42" s="1"/>
  <c r="W3" i="42"/>
  <c r="T3" i="42"/>
  <c r="O3" i="42"/>
  <c r="F3" i="42"/>
  <c r="F24" i="42" l="1"/>
  <c r="E25" i="42"/>
  <c r="AG17" i="42"/>
  <c r="AO15" i="42"/>
  <c r="BE15" i="42" s="1"/>
  <c r="AO12" i="42"/>
  <c r="BE12" i="42" s="1"/>
  <c r="AM10" i="42"/>
  <c r="K10" i="42"/>
  <c r="E16" i="42"/>
  <c r="F15" i="42"/>
  <c r="AO13" i="42"/>
  <c r="BE13" i="42" s="1"/>
  <c r="AG13" i="42"/>
  <c r="AO14" i="42"/>
  <c r="BE14" i="42" s="1"/>
  <c r="AG14" i="42"/>
  <c r="AG16" i="42"/>
  <c r="AO16" i="42"/>
  <c r="BE16" i="42" s="1"/>
  <c r="G18" i="42"/>
  <c r="P18" i="42"/>
  <c r="BC10" i="42"/>
  <c r="BD10" i="42" s="1"/>
  <c r="BC8" i="42"/>
  <c r="BD8" i="42" s="1"/>
  <c r="Q7" i="42"/>
  <c r="AH18" i="42"/>
  <c r="AG18" i="42" s="1"/>
  <c r="AF10" i="42"/>
  <c r="AE10" i="42" s="1"/>
  <c r="AH11" i="42"/>
  <c r="AG11" i="42" s="1"/>
  <c r="AF9" i="42"/>
  <c r="AE9" i="42" s="1"/>
  <c r="AF8" i="42"/>
  <c r="AE8" i="42" s="1"/>
  <c r="AM6" i="42"/>
  <c r="AF7" i="42"/>
  <c r="AE7" i="42" s="1"/>
  <c r="AM4" i="42"/>
  <c r="J4" i="42"/>
  <c r="Y8" i="42"/>
  <c r="Y5" i="42"/>
  <c r="AF5" i="42"/>
  <c r="AE5" i="42" s="1"/>
  <c r="Q5" i="42"/>
  <c r="Y7" i="42"/>
  <c r="AF6" i="42"/>
  <c r="AE6" i="42" s="1"/>
  <c r="Y6" i="42"/>
  <c r="AF4" i="42"/>
  <c r="AE4" i="42" s="1"/>
  <c r="Y4" i="42"/>
  <c r="AR5" i="42"/>
  <c r="BC6" i="42"/>
  <c r="BD6" i="42" s="1"/>
  <c r="AN5" i="42"/>
  <c r="AB5" i="42"/>
  <c r="AN6" i="42"/>
  <c r="AB6" i="42"/>
  <c r="AB8" i="42"/>
  <c r="AN8" i="42"/>
  <c r="AN4" i="42"/>
  <c r="AB4" i="42"/>
  <c r="AB7" i="42"/>
  <c r="AN7" i="42"/>
  <c r="AI10" i="42"/>
  <c r="AP10" i="42" s="1"/>
  <c r="AD6" i="42"/>
  <c r="AD5" i="42"/>
  <c r="AI8" i="42"/>
  <c r="AP8" i="42" s="1"/>
  <c r="AD4" i="42"/>
  <c r="AC18" i="42"/>
  <c r="AB18" i="42" s="1"/>
  <c r="AC11" i="42"/>
  <c r="AB11" i="42" s="1"/>
  <c r="AP9" i="42"/>
  <c r="AH7" i="42"/>
  <c r="AG7" i="42" s="1"/>
  <c r="AD18" i="42"/>
  <c r="AP7" i="42"/>
  <c r="AH6" i="42"/>
  <c r="AG6" i="42" s="1"/>
  <c r="AD11" i="42"/>
  <c r="AH5" i="42"/>
  <c r="AG5" i="42" s="1"/>
  <c r="AH4" i="42"/>
  <c r="AG4" i="42" s="1"/>
  <c r="AH8" i="42"/>
  <c r="AG8" i="42" s="1"/>
  <c r="AD9" i="42"/>
  <c r="AD7" i="42"/>
  <c r="Y3" i="42"/>
  <c r="AH10" i="42"/>
  <c r="AG10" i="42" s="1"/>
  <c r="P9" i="42"/>
  <c r="AH9" i="42"/>
  <c r="AG9" i="42" s="1"/>
  <c r="Y10" i="42"/>
  <c r="Y9" i="42"/>
  <c r="AB10" i="42"/>
  <c r="AM9" i="42"/>
  <c r="AM8" i="42"/>
  <c r="Q6" i="42"/>
  <c r="P3" i="42"/>
  <c r="Q4" i="42"/>
  <c r="AR4" i="42"/>
  <c r="Q3" i="42"/>
  <c r="Q10" i="42"/>
  <c r="G11" i="42"/>
  <c r="G10" i="42"/>
  <c r="Q9" i="42"/>
  <c r="Q8" i="42"/>
  <c r="P8" i="42"/>
  <c r="P6" i="42"/>
  <c r="BC3" i="42"/>
  <c r="BD3" i="42" s="1"/>
  <c r="G7" i="42"/>
  <c r="BC7" i="42"/>
  <c r="BD7" i="42" s="1"/>
  <c r="AM5" i="42"/>
  <c r="BC5" i="42"/>
  <c r="BD5" i="42" s="1"/>
  <c r="AR3" i="42"/>
  <c r="BC4" i="42"/>
  <c r="BD4" i="42" s="1"/>
  <c r="AR10" i="42"/>
  <c r="AR9" i="42"/>
  <c r="AR7" i="42"/>
  <c r="G6" i="42"/>
  <c r="AL11" i="42"/>
  <c r="BC11" i="42" s="1"/>
  <c r="BD11" i="42" s="1"/>
  <c r="AL18" i="42"/>
  <c r="AP18" i="42"/>
  <c r="AS10" i="42"/>
  <c r="AP11" i="42"/>
  <c r="L10" i="42"/>
  <c r="J10" i="42" s="1"/>
  <c r="K9" i="42"/>
  <c r="AS9" i="42" s="1"/>
  <c r="L9" i="42"/>
  <c r="AN9" i="42"/>
  <c r="K8" i="42"/>
  <c r="AS8" i="42" s="1"/>
  <c r="L7" i="42"/>
  <c r="L8" i="42"/>
  <c r="J8" i="42" s="1"/>
  <c r="L6" i="42"/>
  <c r="J6" i="42" s="1"/>
  <c r="L5" i="42"/>
  <c r="J5" i="42" s="1"/>
  <c r="L3" i="42"/>
  <c r="J3" i="42" s="1"/>
  <c r="G5" i="42"/>
  <c r="AI3" i="42"/>
  <c r="AP3" i="42" s="1"/>
  <c r="G4" i="42"/>
  <c r="AP4" i="42"/>
  <c r="K5" i="42"/>
  <c r="AS5" i="42" s="1"/>
  <c r="AH3" i="42"/>
  <c r="AO3" i="42" s="1"/>
  <c r="BE3" i="42" s="1"/>
  <c r="AB3" i="42"/>
  <c r="K3" i="42"/>
  <c r="AS3" i="42" s="1"/>
  <c r="AF3" i="42"/>
  <c r="AE3" i="42" s="1"/>
  <c r="K4" i="42"/>
  <c r="AS4" i="42" s="1"/>
  <c r="K6" i="42"/>
  <c r="AS6" i="42" s="1"/>
  <c r="AP6" i="42"/>
  <c r="AP5" i="42"/>
  <c r="K7" i="42"/>
  <c r="AS7" i="42" s="1"/>
  <c r="F25" i="42" l="1"/>
  <c r="E26" i="42"/>
  <c r="BC18" i="42"/>
  <c r="BD18" i="42" s="1"/>
  <c r="L18" i="42"/>
  <c r="J18" i="42" s="1"/>
  <c r="F16" i="42"/>
  <c r="E17" i="42"/>
  <c r="F17" i="42" s="1"/>
  <c r="Q18" i="42"/>
  <c r="AF18" i="42"/>
  <c r="AE18" i="42" s="1"/>
  <c r="Y18" i="42"/>
  <c r="Q11" i="42"/>
  <c r="AF11" i="42"/>
  <c r="AE11" i="42" s="1"/>
  <c r="Y11" i="42"/>
  <c r="AN11" i="42"/>
  <c r="AO4" i="42"/>
  <c r="BE4" i="42" s="1"/>
  <c r="AO9" i="42"/>
  <c r="BE9" i="42" s="1"/>
  <c r="AO5" i="42"/>
  <c r="BE5" i="42" s="1"/>
  <c r="AN18" i="42"/>
  <c r="AO7" i="42"/>
  <c r="BE7" i="42" s="1"/>
  <c r="AO11" i="42"/>
  <c r="BE11" i="42" s="1"/>
  <c r="AM18" i="42"/>
  <c r="AR18" i="42"/>
  <c r="K11" i="42"/>
  <c r="AS11" i="42" s="1"/>
  <c r="AM11" i="42"/>
  <c r="AR11" i="42"/>
  <c r="AO8" i="42"/>
  <c r="BE8" i="42" s="1"/>
  <c r="AO6" i="42"/>
  <c r="BE6" i="42" s="1"/>
  <c r="AO10" i="42"/>
  <c r="BE10" i="42" s="1"/>
  <c r="AO18" i="42"/>
  <c r="BE18" i="42" s="1"/>
  <c r="J7" i="42"/>
  <c r="L11" i="42"/>
  <c r="J11" i="42" s="1"/>
  <c r="K18" i="42"/>
  <c r="AS18" i="42" s="1"/>
  <c r="AG3" i="42"/>
  <c r="F26" i="42" l="1"/>
  <c r="E27" i="42"/>
  <c r="F27" i="42" s="1"/>
  <c r="J9" i="4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Franz Rafael Novillo Torres</author>
  </authors>
  <commentList>
    <comment ref="AS2" authorId="0" shapeId="0" xr:uid="{B7F00D3C-9CA5-4326-A4AE-29862CAE46BB}">
      <text>
        <r>
          <rPr>
            <b/>
            <sz val="9"/>
            <color indexed="81"/>
            <rFont val="Tahoma"/>
            <family val="2"/>
          </rPr>
          <t>Franz Rafael Novillo Torres:</t>
        </r>
        <r>
          <rPr>
            <sz val="9"/>
            <color indexed="81"/>
            <rFont val="Tahoma"/>
            <family val="2"/>
          </rPr>
          <t xml:space="preserve">
5000 KG/AA AQ1 Y BPM
</t>
        </r>
      </text>
    </comment>
  </commentList>
</comments>
</file>

<file path=xl/sharedStrings.xml><?xml version="1.0" encoding="utf-8"?>
<sst xmlns="http://schemas.openxmlformats.org/spreadsheetml/2006/main" count="130" uniqueCount="97">
  <si>
    <t>NormalCalor</t>
  </si>
  <si>
    <t>MinCalor</t>
  </si>
  <si>
    <t>Psc</t>
  </si>
  <si>
    <t>Marca Alimento</t>
  </si>
  <si>
    <t>Ha</t>
  </si>
  <si>
    <t>Siembra</t>
  </si>
  <si>
    <t>Fecha</t>
  </si>
  <si>
    <t>Días</t>
  </si>
  <si>
    <t>%Diferencia  Alimentación Actual&amp;Teórica</t>
  </si>
  <si>
    <t>Kg/ semanal</t>
  </si>
  <si>
    <t>Bal Acumulado</t>
  </si>
  <si>
    <t>Fca</t>
  </si>
  <si>
    <t>Lbs/ha      sin Raleo</t>
  </si>
  <si>
    <t>Lbs/ha+Raleo</t>
  </si>
  <si>
    <t>Raleo/total</t>
  </si>
  <si>
    <t>Gr/Raleo</t>
  </si>
  <si>
    <t>Raleo/lb/ha</t>
  </si>
  <si>
    <t>Kg/Ha Actual</t>
  </si>
  <si>
    <t>Kg/ 100mil</t>
  </si>
  <si>
    <t xml:space="preserve">Kg Alimento diario </t>
  </si>
  <si>
    <t>Kg/Ha Sugerido</t>
  </si>
  <si>
    <t>Kg Alimento Sugerido</t>
  </si>
  <si>
    <t>Kg Minimo</t>
  </si>
  <si>
    <t>Kg/Ha min</t>
  </si>
  <si>
    <t>Peso Actual</t>
  </si>
  <si>
    <t>BW   Actual</t>
  </si>
  <si>
    <t>BW Sugerida</t>
  </si>
  <si>
    <t>BW(min)</t>
  </si>
  <si>
    <t>Biomasa
Lb/Ha bajo sugerencia</t>
  </si>
  <si>
    <t xml:space="preserve">Biomasa de camaron  </t>
  </si>
  <si>
    <t>Biomasa de camaron  2</t>
  </si>
  <si>
    <t>Biomasa
Lb/Ha bajo reportado</t>
  </si>
  <si>
    <t>Biomasa de Camaron bajo reportado</t>
  </si>
  <si>
    <t>Biomasa/Ha Camaron Alimentación Actual</t>
  </si>
  <si>
    <t>Biomasa de camaron alimentacion actual</t>
  </si>
  <si>
    <t>Biomasa de camaron alimentacion 2</t>
  </si>
  <si>
    <t>Animales Sembrados</t>
  </si>
  <si>
    <t>Densidad/ha</t>
  </si>
  <si>
    <t>Animales vivos reportados</t>
  </si>
  <si>
    <t>Biomasa Lbs/Ha</t>
  </si>
  <si>
    <t>Animales según alimentación sugerida</t>
  </si>
  <si>
    <t>Animales según alimentación actual</t>
  </si>
  <si>
    <t>Animales según tabla 2(Min)</t>
  </si>
  <si>
    <t>#AA</t>
  </si>
  <si>
    <t>AnimalesAA</t>
  </si>
  <si>
    <t>Kg/AA</t>
  </si>
  <si>
    <t>Incremento actual</t>
  </si>
  <si>
    <t>Incremento teorico</t>
  </si>
  <si>
    <t>Sobrevivencia total  en finca</t>
  </si>
  <si>
    <t>CXMT ACTUAL</t>
  </si>
  <si>
    <t>Sobrevivencia actual en agua</t>
  </si>
  <si>
    <t xml:space="preserve">sobrevivencia actual por consumo </t>
  </si>
  <si>
    <t>Observación</t>
  </si>
  <si>
    <t>Valores</t>
  </si>
  <si>
    <t>Fecha.</t>
  </si>
  <si>
    <t># de Ps</t>
  </si>
  <si>
    <t>Hectareaje</t>
  </si>
  <si>
    <t>Densidad de siembra/Ha</t>
  </si>
  <si>
    <t>Dias de cultivo</t>
  </si>
  <si>
    <t>Incremento actual (g)</t>
  </si>
  <si>
    <t>Biomasa Lb/Ha reportada</t>
  </si>
  <si>
    <t>Biomasa Lb/Ha sugerencia</t>
  </si>
  <si>
    <t>17 MARCHENA</t>
  </si>
  <si>
    <t>19 MARCHENA</t>
  </si>
  <si>
    <t>15 MARCHENA</t>
  </si>
  <si>
    <t>Total general</t>
  </si>
  <si>
    <t>NormalFrio</t>
  </si>
  <si>
    <t>MinFrio</t>
  </si>
  <si>
    <t>Peso</t>
  </si>
  <si>
    <t>% BW</t>
  </si>
  <si>
    <t>Pesos</t>
  </si>
  <si>
    <t>BW FULL - CALOR</t>
  </si>
  <si>
    <t>BW FULL - FRIO</t>
  </si>
  <si>
    <t>TipoBW</t>
  </si>
  <si>
    <t>Ciclo</t>
  </si>
  <si>
    <t>Nombre</t>
  </si>
  <si>
    <t>Formula</t>
  </si>
  <si>
    <t>Resultado</t>
  </si>
  <si>
    <t>Frio</t>
  </si>
  <si>
    <t>Calor</t>
  </si>
  <si>
    <t>Normal</t>
  </si>
  <si>
    <t>BUSCARV([@[Peso Actual]];Tabla!$A$3:$C$75;3;1))/100)</t>
  </si>
  <si>
    <t>SI.ERROR(SI($Z$1="NormalCalor";BUSCARV([@[Peso Actual]];Tabla!$A$3:$C$75;3;1))/100);BUSCARV([@[Peso Actual]];Tabla!$A$3:$C$75;2;1))/100));"")</t>
  </si>
  <si>
    <t>BUSCARV([@[Peso Actual]];Tabla!$A$3:$C$75;2;1))/100)</t>
  </si>
  <si>
    <t>Min</t>
  </si>
  <si>
    <t>BUSCARV([@[Peso Actual]];Tabla!$F$2:$H$481;2;1)</t>
  </si>
  <si>
    <t>SI.ERROR(SI($Z$1="MinFrio";BUSCARV([@[Peso Actual]];Tabla!$F$2:$H$481;3;1);BUSCARV([@[Peso Actual]];Tabla!$F$2:$H$481;2;1));"")</t>
  </si>
  <si>
    <t>BUSCARV([@[Peso Actual]];Tabla!$F$2:$H$481;3;1)</t>
  </si>
  <si>
    <t>Dias alimentados</t>
  </si>
  <si>
    <t>%Efi AR</t>
  </si>
  <si>
    <t>Hp/Efi</t>
  </si>
  <si>
    <t>Total hp/AR</t>
  </si>
  <si>
    <t>#AR</t>
  </si>
  <si>
    <t>Hp/AR</t>
  </si>
  <si>
    <t>Hp/ha</t>
  </si>
  <si>
    <t>MAX AP</t>
  </si>
  <si>
    <t>KATAL 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</si>
</sst>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_(* #,##0.00_);_(* \(#,##0.00\);_(* &quot;-&quot;??_);_(@_)"/>
    <numFmt numFmtId="165" formatCode="0.0"/>
    <numFmt numFmtId="166" formatCode="_-* #,##0.00\ _P_t_s_-;\-* #,##0.00\ _P_t_s_-;_-* &quot;-&quot;??\ _P_t_s_-;_-@_-"/>
    <numFmt numFmtId="167" formatCode="_ * #,##0_ ;_ * \-#,##0_ ;_ * &quot;-&quot;??_ ;_ @_ "/>
    <numFmt numFmtId="168" formatCode="#,##0.0"/>
    <numFmt numFmtId="169" formatCode="_(* #,##0_);_(* \(#,##0\);_(* &quot;-&quot;??_);_(@_)"/>
    <numFmt numFmtId="170" formatCode="_(* #,##0.0_);_(* \(#,##0.0\);_(* &quot;-&quot;??_);_(@_)"/>
    <numFmt numFmtId="171" formatCode="m/d/yyyy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C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0" fontId="5" fillId="0" borderId="0"/>
    <xf numFmtId="166" fontId="5" fillId="0" borderId="0" applyFont="0" applyFill="0" applyBorder="0" applyAlignment="0" applyProtection="0"/>
    <xf numFmtId="0" fontId="1" fillId="0" borderId="0"/>
    <xf numFmtId="0" fontId="6" fillId="0" borderId="0"/>
    <xf numFmtId="9" fontId="6" fillId="0" borderId="0" applyFont="0" applyFill="0" applyBorder="0" applyAlignment="0" applyProtection="0"/>
    <xf numFmtId="0" fontId="7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1">
    <xf numFmtId="0" fontId="0" fillId="0" borderId="0" xfId="0"/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3" xfId="0" applyNumberFormat="1" applyBorder="1"/>
    <xf numFmtId="0" fontId="2" fillId="3" borderId="0" xfId="0" applyFont="1" applyFill="1" applyAlignment="1">
      <alignment horizontal="center" vertical="center" wrapText="1"/>
    </xf>
    <xf numFmtId="10" fontId="2" fillId="5" borderId="3" xfId="0" applyNumberFormat="1" applyFont="1" applyFill="1" applyBorder="1" applyAlignment="1">
      <alignment horizontal="center"/>
    </xf>
    <xf numFmtId="0" fontId="9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vertical="center"/>
    </xf>
    <xf numFmtId="167" fontId="8" fillId="4" borderId="5" xfId="7" applyNumberFormat="1" applyFont="1" applyFill="1" applyBorder="1" applyAlignment="1">
      <alignment horizontal="center" vertical="center" wrapText="1"/>
    </xf>
    <xf numFmtId="167" fontId="8" fillId="2" borderId="5" xfId="7" applyNumberFormat="1" applyFont="1" applyFill="1" applyBorder="1" applyAlignment="1">
      <alignment horizontal="center" vertical="center" wrapText="1"/>
    </xf>
    <xf numFmtId="167" fontId="8" fillId="6" borderId="5" xfId="7" applyNumberFormat="1" applyFont="1" applyFill="1" applyBorder="1" applyAlignment="1">
      <alignment horizontal="center" vertical="center" wrapText="1"/>
    </xf>
    <xf numFmtId="1" fontId="0" fillId="5" borderId="3" xfId="0" applyNumberFormat="1" applyFill="1" applyBorder="1" applyAlignment="1">
      <alignment horizontal="center" vertical="center"/>
    </xf>
    <xf numFmtId="167" fontId="2" fillId="5" borderId="3" xfId="7" applyNumberFormat="1" applyFont="1" applyFill="1" applyBorder="1" applyAlignment="1">
      <alignment horizontal="center"/>
    </xf>
    <xf numFmtId="10" fontId="0" fillId="5" borderId="3" xfId="0" applyNumberFormat="1" applyFill="1" applyBorder="1" applyAlignment="1">
      <alignment horizontal="center" vertical="center"/>
    </xf>
    <xf numFmtId="0" fontId="0" fillId="0" borderId="0" xfId="0" pivotButton="1"/>
    <xf numFmtId="2" fontId="0" fillId="4" borderId="3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9" fontId="0" fillId="0" borderId="0" xfId="8" applyFont="1" applyAlignment="1">
      <alignment horizontal="center"/>
    </xf>
    <xf numFmtId="0" fontId="0" fillId="0" borderId="3" xfId="0" applyBorder="1"/>
    <xf numFmtId="14" fontId="0" fillId="0" borderId="3" xfId="0" applyNumberFormat="1" applyBorder="1"/>
    <xf numFmtId="168" fontId="0" fillId="0" borderId="3" xfId="0" applyNumberFormat="1" applyBorder="1"/>
    <xf numFmtId="167" fontId="0" fillId="0" borderId="3" xfId="0" applyNumberFormat="1" applyBorder="1"/>
    <xf numFmtId="2" fontId="0" fillId="0" borderId="3" xfId="0" applyNumberFormat="1" applyBorder="1"/>
    <xf numFmtId="0" fontId="0" fillId="0" borderId="3" xfId="0" pivotButton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7" fontId="2" fillId="5" borderId="3" xfId="0" applyNumberFormat="1" applyFont="1" applyFill="1" applyBorder="1" applyAlignment="1">
      <alignment horizontal="center"/>
    </xf>
    <xf numFmtId="167" fontId="2" fillId="4" borderId="3" xfId="0" applyNumberFormat="1" applyFont="1" applyFill="1" applyBorder="1" applyAlignment="1">
      <alignment horizontal="center" vertical="center"/>
    </xf>
    <xf numFmtId="2" fontId="2" fillId="5" borderId="11" xfId="0" applyNumberFormat="1" applyFont="1" applyFill="1" applyBorder="1" applyAlignment="1">
      <alignment horizontal="center" vertical="center"/>
    </xf>
    <xf numFmtId="167" fontId="2" fillId="5" borderId="11" xfId="0" applyNumberFormat="1" applyFont="1" applyFill="1" applyBorder="1" applyAlignment="1">
      <alignment horizontal="center"/>
    </xf>
    <xf numFmtId="165" fontId="0" fillId="4" borderId="0" xfId="0" applyNumberFormat="1" applyFill="1" applyAlignment="1">
      <alignment horizontal="center"/>
    </xf>
    <xf numFmtId="165" fontId="0" fillId="4" borderId="0" xfId="0" applyNumberFormat="1" applyFill="1" applyAlignment="1">
      <alignment horizontal="center" wrapText="1"/>
    </xf>
    <xf numFmtId="165" fontId="0" fillId="4" borderId="0" xfId="0" applyNumberFormat="1" applyFill="1" applyAlignment="1">
      <alignment horizontal="center" vertical="center"/>
    </xf>
    <xf numFmtId="2" fontId="0" fillId="4" borderId="0" xfId="0" applyNumberFormat="1" applyFill="1" applyAlignment="1">
      <alignment horizontal="center"/>
    </xf>
    <xf numFmtId="167" fontId="2" fillId="5" borderId="9" xfId="7" applyNumberFormat="1" applyFont="1" applyFill="1" applyBorder="1" applyAlignment="1">
      <alignment horizontal="center"/>
    </xf>
    <xf numFmtId="165" fontId="2" fillId="4" borderId="12" xfId="0" applyNumberFormat="1" applyFont="1" applyFill="1" applyBorder="1" applyAlignment="1">
      <alignment horizontal="left" vertical="center" wrapText="1"/>
    </xf>
    <xf numFmtId="2" fontId="2" fillId="5" borderId="13" xfId="0" applyNumberFormat="1" applyFont="1" applyFill="1" applyBorder="1" applyAlignment="1">
      <alignment horizontal="center" vertical="center"/>
    </xf>
    <xf numFmtId="2" fontId="2" fillId="4" borderId="13" xfId="0" applyNumberFormat="1" applyFont="1" applyFill="1" applyBorder="1" applyAlignment="1">
      <alignment horizontal="center" vertical="center"/>
    </xf>
    <xf numFmtId="10" fontId="2" fillId="5" borderId="13" xfId="0" applyNumberFormat="1" applyFont="1" applyFill="1" applyBorder="1" applyAlignment="1">
      <alignment horizontal="center"/>
    </xf>
    <xf numFmtId="167" fontId="2" fillId="5" borderId="13" xfId="0" applyNumberFormat="1" applyFont="1" applyFill="1" applyBorder="1" applyAlignment="1">
      <alignment horizontal="center"/>
    </xf>
    <xf numFmtId="167" fontId="2" fillId="5" borderId="13" xfId="7" applyNumberFormat="1" applyFont="1" applyFill="1" applyBorder="1" applyAlignment="1">
      <alignment horizontal="center"/>
    </xf>
    <xf numFmtId="167" fontId="8" fillId="6" borderId="14" xfId="7" applyNumberFormat="1" applyFont="1" applyFill="1" applyBorder="1" applyAlignment="1">
      <alignment horizontal="center" vertical="center" wrapText="1"/>
    </xf>
    <xf numFmtId="167" fontId="8" fillId="6" borderId="16" xfId="7" applyNumberFormat="1" applyFont="1" applyFill="1" applyBorder="1" applyAlignment="1">
      <alignment horizontal="center" vertical="center" wrapText="1"/>
    </xf>
    <xf numFmtId="167" fontId="8" fillId="2" borderId="15" xfId="7" applyNumberFormat="1" applyFont="1" applyFill="1" applyBorder="1" applyAlignment="1">
      <alignment horizontal="center" vertical="center" wrapText="1"/>
    </xf>
    <xf numFmtId="167" fontId="8" fillId="2" borderId="16" xfId="7" applyNumberFormat="1" applyFont="1" applyFill="1" applyBorder="1" applyAlignment="1">
      <alignment horizontal="center" vertical="center" wrapText="1"/>
    </xf>
    <xf numFmtId="0" fontId="8" fillId="6" borderId="15" xfId="0" applyFont="1" applyFill="1" applyBorder="1" applyAlignment="1">
      <alignment horizontal="center" vertical="center" wrapText="1"/>
    </xf>
    <xf numFmtId="0" fontId="8" fillId="6" borderId="16" xfId="0" applyFont="1" applyFill="1" applyBorder="1" applyAlignment="1">
      <alignment horizontal="center" vertical="center" wrapText="1"/>
    </xf>
    <xf numFmtId="167" fontId="8" fillId="6" borderId="6" xfId="7" applyNumberFormat="1" applyFont="1" applyFill="1" applyBorder="1" applyAlignment="1">
      <alignment horizontal="center" vertical="center" wrapText="1"/>
    </xf>
    <xf numFmtId="167" fontId="8" fillId="6" borderId="2" xfId="7" applyNumberFormat="1" applyFont="1" applyFill="1" applyBorder="1" applyAlignment="1">
      <alignment horizontal="center" vertical="center" wrapText="1"/>
    </xf>
    <xf numFmtId="167" fontId="8" fillId="6" borderId="7" xfId="7" applyNumberFormat="1" applyFont="1" applyFill="1" applyBorder="1" applyAlignment="1">
      <alignment horizontal="center" vertical="center" wrapText="1"/>
    </xf>
    <xf numFmtId="167" fontId="8" fillId="2" borderId="2" xfId="7" applyNumberFormat="1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167" fontId="8" fillId="2" borderId="7" xfId="7" applyNumberFormat="1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167" fontId="8" fillId="6" borderId="1" xfId="7" applyNumberFormat="1" applyFont="1" applyFill="1" applyBorder="1" applyAlignment="1">
      <alignment horizontal="center" vertical="center" wrapText="1"/>
    </xf>
    <xf numFmtId="2" fontId="2" fillId="4" borderId="11" xfId="0" applyNumberFormat="1" applyFont="1" applyFill="1" applyBorder="1" applyAlignment="1">
      <alignment horizontal="center" vertical="center"/>
    </xf>
    <xf numFmtId="1" fontId="0" fillId="4" borderId="11" xfId="0" applyNumberFormat="1" applyFill="1" applyBorder="1" applyAlignment="1">
      <alignment horizontal="center"/>
    </xf>
    <xf numFmtId="1" fontId="0" fillId="5" borderId="11" xfId="0" applyNumberFormat="1" applyFill="1" applyBorder="1" applyAlignment="1">
      <alignment horizontal="center"/>
    </xf>
    <xf numFmtId="167" fontId="2" fillId="4" borderId="11" xfId="0" applyNumberFormat="1" applyFont="1" applyFill="1" applyBorder="1" applyAlignment="1">
      <alignment horizontal="center" vertical="center"/>
    </xf>
    <xf numFmtId="1" fontId="2" fillId="5" borderId="11" xfId="0" applyNumberFormat="1" applyFont="1" applyFill="1" applyBorder="1" applyAlignment="1">
      <alignment horizontal="center" vertical="center"/>
    </xf>
    <xf numFmtId="2" fontId="0" fillId="4" borderId="11" xfId="0" applyNumberFormat="1" applyFill="1" applyBorder="1" applyAlignment="1">
      <alignment horizontal="center"/>
    </xf>
    <xf numFmtId="167" fontId="8" fillId="9" borderId="14" xfId="7" applyNumberFormat="1" applyFont="1" applyFill="1" applyBorder="1" applyAlignment="1">
      <alignment horizontal="center" vertical="center" wrapText="1"/>
    </xf>
    <xf numFmtId="167" fontId="8" fillId="10" borderId="0" xfId="7" applyNumberFormat="1" applyFont="1" applyFill="1" applyBorder="1" applyAlignment="1">
      <alignment horizontal="center" vertical="center" wrapText="1"/>
    </xf>
    <xf numFmtId="1" fontId="2" fillId="5" borderId="13" xfId="0" applyNumberFormat="1" applyFont="1" applyFill="1" applyBorder="1" applyAlignment="1">
      <alignment horizontal="center" vertical="center"/>
    </xf>
    <xf numFmtId="167" fontId="2" fillId="4" borderId="13" xfId="0" applyNumberFormat="1" applyFont="1" applyFill="1" applyBorder="1" applyAlignment="1">
      <alignment horizontal="center" vertical="center"/>
    </xf>
    <xf numFmtId="9" fontId="1" fillId="4" borderId="3" xfId="8" applyFont="1" applyFill="1" applyBorder="1" applyAlignment="1">
      <alignment horizontal="center"/>
    </xf>
    <xf numFmtId="167" fontId="8" fillId="4" borderId="0" xfId="7" applyNumberFormat="1" applyFont="1" applyFill="1" applyBorder="1" applyAlignment="1">
      <alignment horizontal="center" vertical="center" wrapText="1"/>
    </xf>
    <xf numFmtId="2" fontId="2" fillId="11" borderId="8" xfId="0" applyNumberFormat="1" applyFont="1" applyFill="1" applyBorder="1" applyAlignment="1">
      <alignment horizontal="center" vertical="center"/>
    </xf>
    <xf numFmtId="1" fontId="2" fillId="11" borderId="0" xfId="0" applyNumberFormat="1" applyFont="1" applyFill="1" applyAlignment="1">
      <alignment horizontal="center" vertical="center"/>
    </xf>
    <xf numFmtId="0" fontId="0" fillId="4" borderId="0" xfId="0" applyFill="1"/>
    <xf numFmtId="0" fontId="2" fillId="4" borderId="0" xfId="0" applyFont="1" applyFill="1" applyAlignment="1">
      <alignment horizontal="center" vertical="center"/>
    </xf>
    <xf numFmtId="2" fontId="0" fillId="4" borderId="0" xfId="0" applyNumberFormat="1" applyFill="1"/>
    <xf numFmtId="10" fontId="0" fillId="4" borderId="0" xfId="8" applyNumberFormat="1" applyFont="1" applyFill="1"/>
    <xf numFmtId="10" fontId="0" fillId="4" borderId="0" xfId="0" applyNumberFormat="1" applyFill="1"/>
    <xf numFmtId="0" fontId="0" fillId="4" borderId="0" xfId="0" applyFill="1" applyAlignment="1">
      <alignment wrapText="1"/>
    </xf>
    <xf numFmtId="0" fontId="0" fillId="12" borderId="0" xfId="0" applyFill="1"/>
    <xf numFmtId="0" fontId="10" fillId="4" borderId="3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14" fontId="0" fillId="4" borderId="3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 vertical="center"/>
    </xf>
    <xf numFmtId="167" fontId="2" fillId="5" borderId="17" xfId="0" applyNumberFormat="1" applyFont="1" applyFill="1" applyBorder="1" applyAlignment="1">
      <alignment horizontal="center"/>
    </xf>
    <xf numFmtId="14" fontId="4" fillId="8" borderId="0" xfId="0" applyNumberFormat="1" applyFont="1" applyFill="1" applyAlignment="1">
      <alignment horizontal="center" vertical="center" wrapText="1"/>
    </xf>
    <xf numFmtId="167" fontId="2" fillId="5" borderId="18" xfId="0" applyNumberFormat="1" applyFont="1" applyFill="1" applyBorder="1" applyAlignment="1">
      <alignment horizontal="center"/>
    </xf>
    <xf numFmtId="0" fontId="0" fillId="4" borderId="11" xfId="0" applyFill="1" applyBorder="1" applyAlignment="1">
      <alignment horizontal="center" vertical="center"/>
    </xf>
    <xf numFmtId="167" fontId="0" fillId="7" borderId="11" xfId="0" applyNumberFormat="1" applyFill="1" applyBorder="1" applyAlignment="1">
      <alignment horizontal="center"/>
    </xf>
    <xf numFmtId="9" fontId="8" fillId="6" borderId="14" xfId="8" applyFont="1" applyFill="1" applyBorder="1" applyAlignment="1">
      <alignment horizontal="center" vertical="center" wrapText="1"/>
    </xf>
    <xf numFmtId="9" fontId="0" fillId="4" borderId="0" xfId="8" applyFont="1" applyFill="1" applyAlignment="1">
      <alignment horizontal="center"/>
    </xf>
    <xf numFmtId="169" fontId="8" fillId="6" borderId="6" xfId="7" applyNumberFormat="1" applyFont="1" applyFill="1" applyBorder="1" applyAlignment="1">
      <alignment horizontal="center" vertical="center" wrapText="1"/>
    </xf>
    <xf numFmtId="169" fontId="2" fillId="5" borderId="0" xfId="7" applyNumberFormat="1" applyFont="1" applyFill="1" applyBorder="1" applyAlignment="1">
      <alignment horizontal="center"/>
    </xf>
    <xf numFmtId="169" fontId="0" fillId="0" borderId="0" xfId="7" applyNumberFormat="1" applyFont="1"/>
    <xf numFmtId="0" fontId="3" fillId="8" borderId="0" xfId="0" applyFont="1" applyFill="1" applyAlignment="1">
      <alignment vertical="center" wrapText="1"/>
    </xf>
    <xf numFmtId="0" fontId="3" fillId="8" borderId="4" xfId="0" applyFont="1" applyFill="1" applyBorder="1" applyAlignment="1">
      <alignment vertical="center" wrapText="1"/>
    </xf>
    <xf numFmtId="169" fontId="13" fillId="4" borderId="0" xfId="7" applyNumberFormat="1" applyFont="1" applyFill="1" applyAlignment="1">
      <alignment vertical="center" wrapText="1"/>
    </xf>
    <xf numFmtId="0" fontId="13" fillId="4" borderId="0" xfId="0" applyFont="1" applyFill="1" applyAlignment="1">
      <alignment vertical="center" wrapText="1"/>
    </xf>
    <xf numFmtId="0" fontId="2" fillId="4" borderId="0" xfId="0" applyFont="1" applyFill="1"/>
    <xf numFmtId="0" fontId="14" fillId="4" borderId="0" xfId="0" applyFont="1" applyFill="1"/>
    <xf numFmtId="0" fontId="14" fillId="0" borderId="0" xfId="0" applyFont="1"/>
    <xf numFmtId="0" fontId="2" fillId="0" borderId="0" xfId="0" applyFont="1"/>
    <xf numFmtId="1" fontId="2" fillId="5" borderId="13" xfId="0" applyNumberFormat="1" applyFont="1" applyFill="1" applyBorder="1" applyAlignment="1">
      <alignment horizontal="center" vertical="center" wrapText="1"/>
    </xf>
    <xf numFmtId="1" fontId="2" fillId="7" borderId="11" xfId="0" applyNumberFormat="1" applyFont="1" applyFill="1" applyBorder="1" applyAlignment="1">
      <alignment horizontal="center"/>
    </xf>
    <xf numFmtId="169" fontId="2" fillId="5" borderId="0" xfId="7" applyNumberFormat="1" applyFont="1" applyFill="1" applyAlignment="1">
      <alignment horizontal="center"/>
    </xf>
    <xf numFmtId="9" fontId="2" fillId="5" borderId="0" xfId="7" applyNumberFormat="1" applyFont="1" applyFill="1" applyBorder="1" applyAlignment="1">
      <alignment horizontal="center"/>
    </xf>
    <xf numFmtId="170" fontId="2" fillId="5" borderId="0" xfId="7" applyNumberFormat="1" applyFont="1" applyFill="1" applyBorder="1" applyAlignment="1">
      <alignment horizontal="center"/>
    </xf>
    <xf numFmtId="169" fontId="13" fillId="4" borderId="0" xfId="7" applyNumberFormat="1" applyFont="1" applyFill="1" applyAlignment="1">
      <alignment horizontal="center" vertical="center" wrapText="1"/>
    </xf>
    <xf numFmtId="169" fontId="0" fillId="0" borderId="0" xfId="7" applyNumberFormat="1" applyFont="1" applyAlignment="1">
      <alignment horizontal="center"/>
    </xf>
    <xf numFmtId="0" fontId="0" fillId="4" borderId="3" xfId="0" applyFill="1" applyBorder="1" applyAlignment="1">
      <alignment horizontal="left"/>
    </xf>
    <xf numFmtId="0" fontId="16" fillId="4" borderId="3" xfId="0" applyFont="1" applyFill="1" applyBorder="1" applyAlignment="1">
      <alignment horizontal="left"/>
    </xf>
    <xf numFmtId="171" fontId="0" fillId="4" borderId="3" xfId="0" applyNumberFormat="1" applyFont="1" applyFill="1" applyBorder="1" applyAlignment="1">
      <alignment horizontal="center"/>
    </xf>
    <xf numFmtId="171" fontId="0" fillId="4" borderId="3" xfId="0" applyNumberFormat="1" applyFill="1" applyBorder="1" applyAlignment="1">
      <alignment horizontal="center"/>
    </xf>
    <xf numFmtId="2" fontId="2" fillId="5" borderId="3" xfId="0" applyNumberFormat="1" applyFont="1" applyFill="1" applyBorder="1" applyAlignment="1">
      <alignment horizontal="center" vertical="center"/>
    </xf>
    <xf numFmtId="1" fontId="0" fillId="4" borderId="3" xfId="0" applyNumberFormat="1" applyFont="1" applyFill="1" applyBorder="1" applyAlignment="1">
      <alignment horizontal="center"/>
    </xf>
    <xf numFmtId="1" fontId="0" fillId="4" borderId="11" xfId="0" applyNumberFormat="1" applyFont="1" applyFill="1" applyBorder="1" applyAlignment="1">
      <alignment horizontal="center"/>
    </xf>
    <xf numFmtId="1" fontId="0" fillId="5" borderId="3" xfId="0" applyNumberFormat="1" applyFill="1" applyBorder="1" applyAlignment="1">
      <alignment horizontal="center"/>
    </xf>
    <xf numFmtId="0" fontId="0" fillId="4" borderId="3" xfId="0" applyFont="1" applyFill="1" applyBorder="1" applyAlignment="1">
      <alignment horizontal="center" vertical="center"/>
    </xf>
    <xf numFmtId="10" fontId="2" fillId="5" borderId="11" xfId="0" applyNumberFormat="1" applyFont="1" applyFill="1" applyBorder="1" applyAlignment="1">
      <alignment horizontal="center"/>
    </xf>
    <xf numFmtId="165" fontId="0" fillId="0" borderId="12" xfId="0" applyNumberFormat="1" applyFill="1" applyBorder="1" applyAlignment="1">
      <alignment horizontal="left" vertical="center" wrapText="1"/>
    </xf>
  </cellXfs>
  <cellStyles count="9">
    <cellStyle name="Millares" xfId="7" builtinId="3"/>
    <cellStyle name="Millares 4" xfId="2" xr:uid="{839978FD-BCD2-48CD-8E1B-D4E95BA53BAF}"/>
    <cellStyle name="Normal" xfId="0" builtinId="0"/>
    <cellStyle name="Normal 2" xfId="6" xr:uid="{7C8C964A-9160-48B5-8C16-68E82D42225B}"/>
    <cellStyle name="Normal 3" xfId="4" xr:uid="{D4185988-BAE6-4559-B5F5-F1A47FE19CAA}"/>
    <cellStyle name="Normal 34" xfId="1" xr:uid="{006E1C76-4EA9-4441-A462-63FC3EAA6B42}"/>
    <cellStyle name="Normal 4" xfId="3" xr:uid="{BBEEECA4-2964-4796-8866-A48DD518CD7B}"/>
    <cellStyle name="Porcentaje" xfId="8" builtinId="5"/>
    <cellStyle name="Porcentaje 2" xfId="5" xr:uid="{C1E7A276-A18C-41DD-B803-32AEE11FCA07}"/>
  </cellStyles>
  <dxfs count="9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  <fill>
        <patternFill>
          <bgColor theme="9" tint="0.39994506668294322"/>
        </patternFill>
      </fill>
    </dxf>
    <dxf>
      <font>
        <b/>
        <i val="0"/>
        <color theme="2" tint="-0.749961851863155"/>
      </font>
      <fill>
        <patternFill patternType="solid">
          <fgColor auto="1"/>
          <bgColor rgb="FFFFC000"/>
        </patternFill>
      </fill>
    </dxf>
    <dxf>
      <font>
        <b/>
        <i val="0"/>
        <color theme="2" tint="-0.749961851863155"/>
      </font>
      <fill>
        <patternFill patternType="solid">
          <fgColor auto="1"/>
          <bgColor rgb="FFFFC000"/>
        </patternFill>
      </fill>
    </dxf>
    <dxf>
      <font>
        <b/>
        <i val="0"/>
        <color theme="9" tint="-0.499984740745262"/>
      </font>
      <fill>
        <patternFill>
          <bgColor theme="9" tint="0.3999450666829432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wrapText="1"/>
    </dxf>
    <dxf>
      <alignment wrapText="1"/>
    </dxf>
    <dxf>
      <numFmt numFmtId="165" formatCode="0.0"/>
      <fill>
        <patternFill patternType="none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"/>
      <fill>
        <patternFill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_(* #,##0.0_);_(* \(#,##0.0\);_(* &quot;-&quot;??_);_(@_)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_(* #,##0.0_);_(* \(#,##0.0\);_(* &quot;-&quot;??_);_(@_)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_(* #,##0.0_);_(* \(#,##0.0\);_(* &quot;-&quot;??_);_(@_)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(* #,##0_);_(* \(#,##0\);_(* &quot;-&quot;??_);_(@_)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(* #,##0_);_(* \(#,##0\);_(* &quot;-&quot;??_);_(@_)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(* #,##0_);_(* \(#,##0\);_(* &quot;-&quot;??_);_(@_)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(* #,##0_);_(* \(#,##0\);_(* &quot;-&quot;??_);_(@_)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(* #,##0_);_(* \(#,##0\);_(* &quot;-&quot;??_);_(@_)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 * #,##0_ ;_ * \-#,##0_ ;_ * &quot;-&quot;??_ ;_ @_ 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 * #,##0_ ;_ * \-#,##0_ ;_ * &quot;-&quot;??_ ;_ @_ 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 * #,##0_ ;_ * \-#,##0_ ;_ * &quot;-&quot;??_ ;_ @_ 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 * #,##0_ ;_ * \-#,##0_ ;_ * &quot;-&quot;??_ ;_ @_ 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 * #,##0_ ;_ * \-#,##0_ ;_ * &quot;-&quot;??_ ;_ @_ 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 * #,##0_ ;_ * \-#,##0_ ;_ * &quot;-&quot;??_ ;_ @_ 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 * #,##0_ ;_ * \-#,##0_ ;_ * &quot;-&quot;??_ ;_ @_ 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 * #,##0_ ;_ * \-#,##0_ ;_ * &quot;-&quot;??_ ;_ @_ 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 * #,##0_ ;_ * \-#,##0_ ;_ * &quot;-&quot;??_ ;_ @_ 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 * #,##0_ ;_ * \-#,##0_ ;_ * &quot;-&quot;??_ ;_ @_ 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 * #,##0_ ;_ * \-#,##0_ ;_ * &quot;-&quot;??_ ;_ @_ 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 * #,##0_ ;_ * \-#,##0_ ;_ * &quot;-&quot;??_ ;_ @_ 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 * #,##0_ ;_ * \-#,##0_ ;_ * &quot;-&quot;??_ ;_ @_ 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 * #,##0_ ;_ * \-#,##0_ ;_ * &quot;-&quot;??_ ;_ @_ 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 * #,##0_ ;_ * \-#,##0_ ;_ * &quot;-&quot;??_ ;_ @_ 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 * #,##0_ ;_ * \-#,##0_ ;_ * &quot;-&quot;??_ ;_ @_ 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 * #,##0_ ;_ * \-#,##0_ ;_ * &quot;-&quot;??_ ;_ @_ 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 * #,##0_ ;_ * \-#,##0_ ;_ * &quot;-&quot;??_ ;_ @_ 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 * #,##0_ ;_ * \-#,##0_ ;_ * &quot;-&quot;??_ ;_ @_ 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_ * #,##0_ ;_ * \-#,##0_ ;_ * &quot;-&quot;??_ ;_ @_ 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" formatCode="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1" formatCode="m/d/yyyy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1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72" formatCode="0.00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4" defaultTableStyle="TableStyleMedium2" defaultPivotStyle="PivotStyleLight16">
    <tableStyle name="13-ENERO-19DE ENERO-style" pivot="0" count="2" xr9:uid="{E92B3EF3-BB9A-4866-9E53-1BFA7FB137DC}">
      <tableStyleElement type="firstRowStripe" dxfId="93"/>
      <tableStyleElement type="secondRowStripe" dxfId="92"/>
    </tableStyle>
    <tableStyle name="13-ENERO-19DE ENERO-style 2" pivot="0" count="2" xr9:uid="{D58E99A6-6A38-4F81-821B-30C232E9E7AF}">
      <tableStyleElement type="firstRowStripe" dxfId="91"/>
      <tableStyleElement type="secondRowStripe" dxfId="90"/>
    </tableStyle>
    <tableStyle name="13-ENERO-19DE ENERO-style 3" pivot="0" count="2" xr9:uid="{2912095B-2BBA-471E-8E3D-CBE74330565E}">
      <tableStyleElement type="firstRowStripe" dxfId="89"/>
      <tableStyleElement type="secondRowStripe" dxfId="88"/>
    </tableStyle>
    <tableStyle name="13-ENERO-19DE ENERO-style 4" pivot="0" count="2" xr9:uid="{1ED87C88-4208-4688-9D92-091F418DEA5F}">
      <tableStyleElement type="firstRowStripe" dxfId="87"/>
      <tableStyleElement type="secondRowStripe" dxfId="86"/>
    </tableStyle>
  </tableStyles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3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38100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3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38100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3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38100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</c:pivotFmt>
      <c:pivotFmt>
        <c:idx val="42"/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3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38100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3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ln w="38100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3"/>
          </a:solidFill>
          <a:ln w="25400"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solidFill>
              <a:schemeClr val="lt1"/>
            </a:solidFill>
            <a:ln w="3175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55"/>
        <c:spPr>
          <a:ln w="38100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gradFill>
              <a:gsLst>
                <a:gs pos="24000">
                  <a:schemeClr val="accent6">
                    <a:satMod val="103000"/>
                    <a:lumMod val="102000"/>
                    <a:tint val="94000"/>
                  </a:schemeClr>
                </a:gs>
                <a:gs pos="56000">
                  <a:schemeClr val="accent6">
                    <a:satMod val="110000"/>
                    <a:shade val="100000"/>
                    <a:lumMod val="98000"/>
                    <a:lumOff val="2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numFmt formatCode="#,##0" sourceLinked="0"/>
          <c:spPr>
            <a:solidFill>
              <a:schemeClr val="lt1"/>
            </a:solidFill>
            <a:ln w="3175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58"/>
        <c:dLbl>
          <c:idx val="0"/>
          <c:numFmt formatCode="#,##0" sourceLinked="0"/>
          <c:spPr>
            <a:solidFill>
              <a:schemeClr val="lt1"/>
            </a:solidFill>
            <a:ln w="3175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59"/>
        <c:dLbl>
          <c:idx val="0"/>
          <c:numFmt formatCode="#,##0" sourceLinked="0"/>
          <c:spPr>
            <a:solidFill>
              <a:schemeClr val="lt1"/>
            </a:solidFill>
            <a:ln w="3175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60"/>
        <c:dLbl>
          <c:idx val="0"/>
          <c:numFmt formatCode="#,##0" sourceLinked="0"/>
          <c:spPr>
            <a:solidFill>
              <a:schemeClr val="lt1"/>
            </a:solidFill>
            <a:ln w="3175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61"/>
        <c:dLbl>
          <c:idx val="0"/>
          <c:numFmt formatCode="#,##0" sourceLinked="0"/>
          <c:spPr>
            <a:solidFill>
              <a:schemeClr val="lt1"/>
            </a:solidFill>
            <a:ln w="3175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62"/>
        <c:dLbl>
          <c:idx val="0"/>
          <c:numFmt formatCode="#,##0" sourceLinked="0"/>
          <c:spPr>
            <a:solidFill>
              <a:schemeClr val="lt1"/>
            </a:solidFill>
            <a:ln w="3175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63"/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numFmt formatCode="#,##0" sourceLinked="0"/>
          <c:spPr>
            <a:solidFill>
              <a:schemeClr val="lt1"/>
            </a:solidFill>
            <a:ln w="3175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67"/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numFmt formatCode="#,##0" sourceLinked="0"/>
          <c:spPr>
            <a:solidFill>
              <a:schemeClr val="lt1"/>
            </a:solidFill>
            <a:ln w="3175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70"/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l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ln>
            <a:solidFill>
              <a:srgbClr val="FFC000"/>
            </a:solidFill>
          </a:ln>
        </c:spPr>
        <c:marker>
          <c:symbol val="none"/>
        </c:marker>
        <c:dLbl>
          <c:idx val="0"/>
          <c:spPr>
            <a:ln>
              <a:solidFill>
                <a:schemeClr val="accent2"/>
              </a:solidFill>
            </a:ln>
          </c:spPr>
          <c:txPr>
            <a:bodyPr/>
            <a:lstStyle/>
            <a:p>
              <a:pPr>
                <a:defRPr/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74"/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E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pPr>
            <a:noFill/>
            <a:ln w="12700" cap="flat" cmpd="sng" algn="ctr">
              <a:noFill/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noFill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E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pPr>
            <a:noFill/>
            <a:ln w="12700" cap="flat" cmpd="sng" algn="ctr">
              <a:noFill/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noFill/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noFill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</c:pivotFmt>
      <c:pivotFmt>
        <c:idx val="81"/>
        <c:spPr>
          <a:solidFill>
            <a:schemeClr val="accent3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marker>
          <c:symbol val="none"/>
        </c:marker>
      </c:pivotFmt>
      <c:pivotFmt>
        <c:idx val="83"/>
        <c:spPr>
          <a:solidFill>
            <a:schemeClr val="bg2">
              <a:lumMod val="50000"/>
              <a:alpha val="50000"/>
            </a:schemeClr>
          </a:solidFill>
        </c:spPr>
        <c:marker>
          <c:symbol val="none"/>
        </c:marker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rgbClr val="002060">
              <a:alpha val="93000"/>
            </a:srgbClr>
          </a:solidFill>
        </c:spPr>
        <c:marker>
          <c:symbol val="none"/>
        </c:marker>
        <c:dLbl>
          <c:idx val="0"/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Kg/Ha Actual.</c:v>
          </c:tx>
          <c:spPr>
            <a:solidFill>
              <a:srgbClr val="002060">
                <a:alpha val="93000"/>
              </a:srgbClr>
            </a:solidFill>
          </c:spPr>
          <c:invertIfNegative val="0"/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22/1/2026 MAX-AP 17 MARCHENA</c:v>
              </c:pt>
              <c:pt idx="1">
                <c:v>22/1/2026 MAX-AP 19 MARCHENA</c:v>
              </c:pt>
              <c:pt idx="2">
                <c:v>22/1/2026 MAX-AP 15 MARCHENA</c:v>
              </c:pt>
            </c:strLit>
          </c:cat>
          <c:val>
            <c:numLit>
              <c:formatCode>General</c:formatCode>
              <c:ptCount val="3"/>
              <c:pt idx="0">
                <c:v>77.493261455525612</c:v>
              </c:pt>
              <c:pt idx="1">
                <c:v>69.16099773242631</c:v>
              </c:pt>
              <c:pt idx="2">
                <c:v>32.019704433497537</c:v>
              </c:pt>
            </c:numLit>
          </c:val>
          <c:extLst>
            <c:ext xmlns:c16="http://schemas.microsoft.com/office/drawing/2014/chart" uri="{C3380CC4-5D6E-409C-BE32-E72D297353CC}">
              <c16:uniqueId val="{00000005-B65D-4FF3-9257-B9AE3F67F8CE}"/>
            </c:ext>
          </c:extLst>
        </c:ser>
        <c:ser>
          <c:idx val="1"/>
          <c:order val="1"/>
          <c:tx>
            <c:v>Kg/Ha min.</c:v>
          </c:tx>
          <c:spPr>
            <a:solidFill>
              <a:schemeClr val="bg2">
                <a:lumMod val="50000"/>
                <a:alpha val="50000"/>
              </a:schemeClr>
            </a:solidFill>
          </c:spPr>
          <c:invertIfNegative val="0"/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22/1/2026 MAX-AP 17 MARCHENA</c:v>
              </c:pt>
              <c:pt idx="1">
                <c:v>22/1/2026 MAX-AP 19 MARCHENA</c:v>
              </c:pt>
              <c:pt idx="2">
                <c:v>22/1/2026 MAX-AP 15 MARCHENA</c:v>
              </c:pt>
            </c:strLit>
          </c:cat>
          <c:val>
            <c:numLit>
              <c:formatCode>General</c:formatCode>
              <c:ptCount val="3"/>
              <c:pt idx="0">
                <c:v>91.509433962264154</c:v>
              </c:pt>
              <c:pt idx="1">
                <c:v>65.079365079365076</c:v>
              </c:pt>
              <c:pt idx="2">
                <c:v>47.413793103448278</c:v>
              </c:pt>
            </c:numLit>
          </c:val>
          <c:extLst>
            <c:ext xmlns:c16="http://schemas.microsoft.com/office/drawing/2014/chart" uri="{C3380CC4-5D6E-409C-BE32-E72D297353CC}">
              <c16:uniqueId val="{00000007-B65D-4FF3-9257-B9AE3F67F8C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1"/>
        <c:axId val="1087605391"/>
        <c:axId val="1087616431"/>
      </c:barChart>
      <c:lineChart>
        <c:grouping val="standard"/>
        <c:varyColors val="0"/>
        <c:ser>
          <c:idx val="2"/>
          <c:order val="2"/>
          <c:tx>
            <c:v>Incremento actual.</c:v>
          </c:tx>
          <c:spPr>
            <a:ln w="381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spPr>
              <a:gradFill>
                <a:gsLst>
                  <a:gs pos="2400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6000">
                    <a:schemeClr val="accent6">
                      <a:satMod val="110000"/>
                      <a:shade val="100000"/>
                      <a:lumMod val="98000"/>
                      <a:lumOff val="2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 cap="flat" cmpd="sng" algn="ctr">
                <a:solidFill>
                  <a:schemeClr val="accent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22/1/2026 MAX-AP 17 MARCHENA</c:v>
              </c:pt>
              <c:pt idx="1">
                <c:v>22/1/2026 MAX-AP 19 MARCHENA</c:v>
              </c:pt>
              <c:pt idx="2">
                <c:v>22/1/2026 MAX-AP 15 MARCHENA</c:v>
              </c:pt>
            </c:strLit>
          </c:cat>
          <c:val>
            <c:numLit>
              <c:formatCode>General</c:formatCode>
              <c:ptCount val="3"/>
              <c:pt idx="0">
                <c:v>1.8499999999999996</c:v>
              </c:pt>
              <c:pt idx="1">
                <c:v>0.74000000000000021</c:v>
              </c:pt>
              <c:pt idx="2">
                <c:v>2.21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9-B65D-4FF3-9257-B9AE3F67F8CE}"/>
            </c:ext>
          </c:extLst>
        </c:ser>
        <c:ser>
          <c:idx val="3"/>
          <c:order val="3"/>
          <c:tx>
            <c:v>Peso Actual.</c:v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dLbls>
            <c:spPr>
              <a:ln>
                <a:solidFill>
                  <a:schemeClr val="accent2"/>
                </a:solidFill>
              </a:ln>
            </c:spPr>
            <c:txPr>
              <a:bodyPr/>
              <a:lstStyle/>
              <a:p>
                <a:pPr>
                  <a:defRPr/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Lit>
              <c:ptCount val="3"/>
              <c:pt idx="0">
                <c:v>22/1/2026 MAX-AP 17 MARCHENA</c:v>
              </c:pt>
              <c:pt idx="1">
                <c:v>22/1/2026 MAX-AP 19 MARCHENA</c:v>
              </c:pt>
              <c:pt idx="2">
                <c:v>22/1/2026 MAX-AP 15 MARCHENA</c:v>
              </c:pt>
            </c:strLit>
          </c:cat>
          <c:val>
            <c:numLit>
              <c:formatCode>General</c:formatCode>
              <c:ptCount val="3"/>
              <c:pt idx="0">
                <c:v>12.09</c:v>
              </c:pt>
              <c:pt idx="1">
                <c:v>6.49</c:v>
              </c:pt>
              <c:pt idx="2">
                <c:v>4.17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6-13B4-4DBB-A061-4AE5E0DB4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2157312"/>
        <c:axId val="572158272"/>
      </c:lineChart>
      <c:catAx>
        <c:axId val="10876053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87616431"/>
        <c:crosses val="autoZero"/>
        <c:auto val="1"/>
        <c:lblAlgn val="ctr"/>
        <c:lblOffset val="100"/>
        <c:noMultiLvlLbl val="0"/>
      </c:catAx>
      <c:valAx>
        <c:axId val="1087616431"/>
        <c:scaling>
          <c:orientation val="minMax"/>
          <c:max val="120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87605391"/>
        <c:crosses val="autoZero"/>
        <c:crossBetween val="between"/>
        <c:majorUnit val="50"/>
      </c:valAx>
      <c:valAx>
        <c:axId val="572158272"/>
        <c:scaling>
          <c:orientation val="minMax"/>
          <c:max val="1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crossAx val="572157312"/>
        <c:crosses val="max"/>
        <c:crossBetween val="between"/>
      </c:valAx>
      <c:catAx>
        <c:axId val="5721573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2158272"/>
        <c:crosses val="autoZero"/>
        <c:auto val="1"/>
        <c:lblAlgn val="ctr"/>
        <c:lblOffset val="100"/>
        <c:noMultiLvlLbl val="0"/>
      </c:catAx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2026 Trim.1 ene 22/1/2026</c:v>
              </c:pt>
            </c:strLit>
          </c:cat>
          <c:val>
            <c:numLit>
              <c:formatCode>General</c:formatCode>
              <c:ptCount val="1"/>
              <c:pt idx="0">
                <c:v>1.5999999999999999</c:v>
              </c:pt>
            </c:numLit>
          </c:val>
          <c:extLst>
            <c:ext xmlns:c16="http://schemas.microsoft.com/office/drawing/2014/chart" uri="{C3380CC4-5D6E-409C-BE32-E72D297353CC}">
              <c16:uniqueId val="{00000007-9650-4622-B5D1-70C1B6AF50E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69"/>
        <c:axId val="939721200"/>
        <c:axId val="939713520"/>
      </c:barChart>
      <c:catAx>
        <c:axId val="939721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39713520"/>
        <c:crosses val="autoZero"/>
        <c:auto val="1"/>
        <c:lblAlgn val="ctr"/>
        <c:lblOffset val="100"/>
        <c:noMultiLvlLbl val="0"/>
      </c:catAx>
      <c:valAx>
        <c:axId val="93971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3972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3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3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2026 Trim.1 ene 22/1/2026 MAX-AP 17 MARCHENA</c:v>
              </c:pt>
              <c:pt idx="1">
                <c:v>2026 Trim.1 ene 22/1/2026 MAX-AP 19 MARCHENA</c:v>
              </c:pt>
              <c:pt idx="2">
                <c:v>2026 Trim.1 ene 22/1/2026 MAX-AP 15 MARCHENA</c:v>
              </c:pt>
            </c:strLit>
          </c:cat>
          <c:val>
            <c:numLit>
              <c:formatCode>General</c:formatCode>
              <c:ptCount val="3"/>
              <c:pt idx="0">
                <c:v>1.8499999999999996</c:v>
              </c:pt>
              <c:pt idx="1">
                <c:v>0.74000000000000021</c:v>
              </c:pt>
              <c:pt idx="2">
                <c:v>2.21</c:v>
              </c:pt>
            </c:numLit>
          </c:val>
          <c:extLst>
            <c:ext xmlns:c16="http://schemas.microsoft.com/office/drawing/2014/chart" uri="{C3380CC4-5D6E-409C-BE32-E72D297353CC}">
              <c16:uniqueId val="{00000002-F103-4077-B84A-41874A876BF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69"/>
        <c:axId val="1735513280"/>
        <c:axId val="1735513760"/>
      </c:barChart>
      <c:catAx>
        <c:axId val="1735513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35513760"/>
        <c:crosses val="autoZero"/>
        <c:auto val="1"/>
        <c:lblAlgn val="ctr"/>
        <c:lblOffset val="100"/>
        <c:noMultiLvlLbl val="0"/>
      </c:catAx>
      <c:valAx>
        <c:axId val="173551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3551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261937</xdr:colOff>
      <xdr:row>51</xdr:row>
      <xdr:rowOff>152325</xdr:rowOff>
    </xdr:from>
    <xdr:to>
      <xdr:col>18</xdr:col>
      <xdr:colOff>785812</xdr:colOff>
      <xdr:row>76</xdr:row>
      <xdr:rowOff>127000</xdr:rowOff>
    </xdr:to>
    <xdr:graphicFrame macro="">
      <xdr:nvGraphicFramePr>
        <xdr:cNvPr id="5" name="Gráfico 1">
          <a:extLst>
            <a:ext uri="{FF2B5EF4-FFF2-40B4-BE49-F238E27FC236}">
              <a16:creationId xmlns:a16="http://schemas.microsoft.com/office/drawing/2014/main" id="{E370DC5A-54EB-4D2D-B2FA-5503705BE4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60960</xdr:colOff>
      <xdr:row>9</xdr:row>
      <xdr:rowOff>81280</xdr:rowOff>
    </xdr:from>
    <xdr:to>
      <xdr:col>10</xdr:col>
      <xdr:colOff>333103</xdr:colOff>
      <xdr:row>21</xdr:row>
      <xdr:rowOff>122100</xdr:rowOff>
    </xdr:to>
    <xdr:graphicFrame macro="">
      <xdr:nvGraphicFramePr>
        <xdr:cNvPr id="10" name="Gráfico 4">
          <a:extLst>
            <a:ext uri="{FF2B5EF4-FFF2-40B4-BE49-F238E27FC236}">
              <a16:creationId xmlns:a16="http://schemas.microsoft.com/office/drawing/2014/main" id="{AE0EF784-073C-4472-98D9-BC571E55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20412</xdr:colOff>
      <xdr:row>21</xdr:row>
      <xdr:rowOff>174257</xdr:rowOff>
    </xdr:from>
    <xdr:to>
      <xdr:col>10</xdr:col>
      <xdr:colOff>278947</xdr:colOff>
      <xdr:row>37</xdr:row>
      <xdr:rowOff>95250</xdr:rowOff>
    </xdr:to>
    <xdr:graphicFrame macro="">
      <xdr:nvGraphicFramePr>
        <xdr:cNvPr id="9" name="Gráfico 5">
          <a:extLst>
            <a:ext uri="{FF2B5EF4-FFF2-40B4-BE49-F238E27FC236}">
              <a16:creationId xmlns:a16="http://schemas.microsoft.com/office/drawing/2014/main" id="{1C5B779C-B71A-43BE-AE73-0F4F378742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339991</xdr:colOff>
      <xdr:row>45</xdr:row>
      <xdr:rowOff>54471</xdr:rowOff>
    </xdr:from>
    <xdr:to>
      <xdr:col>16</xdr:col>
      <xdr:colOff>743857</xdr:colOff>
      <xdr:row>50</xdr:row>
      <xdr:rowOff>108857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Psc 1">
              <a:extLst>
                <a:ext uri="{FF2B5EF4-FFF2-40B4-BE49-F238E27FC236}">
                  <a16:creationId xmlns:a16="http://schemas.microsoft.com/office/drawing/2014/main" id="{1FB1DE04-CC97-4F3E-9335-8FB37F58EB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sc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97348" y="8781185"/>
              <a:ext cx="3424652" cy="9615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272143</xdr:colOff>
      <xdr:row>45</xdr:row>
      <xdr:rowOff>63500</xdr:rowOff>
    </xdr:from>
    <xdr:to>
      <xdr:col>12</xdr:col>
      <xdr:colOff>144010</xdr:colOff>
      <xdr:row>51</xdr:row>
      <xdr:rowOff>9072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Fecha 1">
              <a:extLst>
                <a:ext uri="{FF2B5EF4-FFF2-40B4-BE49-F238E27FC236}">
                  <a16:creationId xmlns:a16="http://schemas.microsoft.com/office/drawing/2014/main" id="{29FD3D12-F39A-455D-839C-1953CE62F4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2143" y="8790214"/>
              <a:ext cx="7029224" cy="10341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1026160</xdr:colOff>
      <xdr:row>18</xdr:row>
      <xdr:rowOff>22860</xdr:rowOff>
    </xdr:from>
    <xdr:to>
      <xdr:col>16</xdr:col>
      <xdr:colOff>423001</xdr:colOff>
      <xdr:row>31</xdr:row>
      <xdr:rowOff>41277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arca Alimento">
              <a:extLst>
                <a:ext uri="{FF2B5EF4-FFF2-40B4-BE49-F238E27FC236}">
                  <a16:creationId xmlns:a16="http://schemas.microsoft.com/office/drawing/2014/main" id="{4E6EE306-A4E4-A46A-0634-45EB90EE43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ca Alimen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83160" y="3235960"/>
              <a:ext cx="1831340" cy="23958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argillonline-my.sharepoint.com/personal/franzrafael_novillotorres_cargill_com/Documents/Documents/DIOSMAR/INF-%20MICAELA/ReporteProduccion_VAL2A.xlsx" TargetMode="External"/><Relationship Id="rId1" Type="http://schemas.openxmlformats.org/officeDocument/2006/relationships/externalLinkPath" Target="INF-%20MICAELA/ReporteProduccion_VAL2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as"/>
      <sheetName val="en_produccion"/>
      <sheetName val="muestreo_dieta"/>
      <sheetName val="mediana_consumo"/>
      <sheetName val="revision_consumo"/>
      <sheetName val="alimentacion"/>
      <sheetName val="paracargabalanceado"/>
      <sheetName val="insumos"/>
      <sheetName val="consulta_insumos"/>
      <sheetName val="paracargainsumos"/>
      <sheetName val="n_aireadores"/>
      <sheetName val="recambio"/>
      <sheetName val="n_motores"/>
      <sheetName val="batimetria"/>
      <sheetName val="salud"/>
      <sheetName val="poblacional"/>
      <sheetName val="poblacional_res"/>
      <sheetName val="prevalencia"/>
      <sheetName val="ReporteProduccion_VAL2A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z Rafael Novillo Torres" refreshedDate="46043.29936597222" createdVersion="8" refreshedVersion="8" minRefreshableVersion="3" recordCount="95" xr:uid="{066F93A9-06CF-492B-B598-5C9D6F8D8388}">
  <cacheSource type="worksheet">
    <worksheetSource name="Tabla1"/>
  </cacheSource>
  <cacheFields count="49">
    <cacheField name="Psc" numFmtId="0">
      <sharedItems containsMixedTypes="1" containsNumber="1" containsInteger="1" minValue="1" maxValue="97" count="81">
        <n v="19"/>
        <n v="26"/>
        <s v="3 RIN"/>
        <s v="2RIN"/>
        <s v="4RIN"/>
        <s v="5RIN"/>
        <s v="6RIN"/>
        <s v="7RIN"/>
        <s v="8RIN"/>
        <s v="9RIN"/>
        <s v="10RIN"/>
        <s v="11RIN"/>
        <s v="17 MARCHENA"/>
        <s v="13 MARCHENA"/>
        <s v="19 MARCHENA"/>
        <s v="20 MARCHENA"/>
        <s v="03 MARCHENA"/>
        <s v="15 MARCHENA"/>
        <n v="53" u="1"/>
        <n v="63" u="1"/>
        <n v="8" u="1"/>
        <n v="64" u="1"/>
        <n v="65" u="1"/>
        <n v="66" u="1"/>
        <n v="67" u="1"/>
        <n v="68" u="1"/>
        <n v="69" u="1"/>
        <n v="70" u="1"/>
        <n v="71" u="1"/>
        <n v="72" u="1"/>
        <n v="73" u="1"/>
        <n v="74" u="1"/>
        <n v="75" u="1"/>
        <n v="20" u="1"/>
        <n v="33" u="1"/>
        <n v="25" u="1"/>
        <n v="59" u="1"/>
        <n v="22" u="1"/>
        <n v="28" u="1"/>
        <n v="80" u="1"/>
        <n v="35" u="1"/>
        <n v="32" u="1"/>
        <n v="29" u="1"/>
        <n v="27" u="1"/>
        <n v="2" u="1"/>
        <n v="30" u="1"/>
        <n v="21" u="1"/>
        <n v="76" u="1"/>
        <n v="77" u="1"/>
        <n v="78" u="1"/>
        <n v="79" u="1"/>
        <n v="81" u="1"/>
        <n v="1" u="1"/>
        <n v="4" u="1"/>
        <n v="7" u="1"/>
        <n v="9" u="1"/>
        <n v="10" u="1"/>
        <n v="11" u="1"/>
        <n v="13" u="1"/>
        <n v="16" u="1"/>
        <n v="18" u="1"/>
        <n v="23" u="1"/>
        <n v="24" u="1"/>
        <n v="36" u="1"/>
        <n v="37" u="1"/>
        <n v="38" u="1"/>
        <n v="39" u="1"/>
        <n v="41" u="1"/>
        <n v="42" u="1"/>
        <n v="43" u="1"/>
        <n v="44" u="1"/>
        <n v="51" u="1"/>
        <n v="52" u="1"/>
        <n v="54" u="1"/>
        <n v="82" u="1"/>
        <n v="83" u="1"/>
        <n v="84" u="1"/>
        <n v="86" u="1"/>
        <n v="93" u="1"/>
        <n v="96" u="1"/>
        <n v="97" u="1"/>
      </sharedItems>
    </cacheField>
    <cacheField name="Marca Alimento" numFmtId="0">
      <sharedItems containsBlank="1" count="30">
        <s v="Cargill"/>
        <m/>
        <s v="MAX-AP"/>
        <s v="MAX-AX"/>
        <s v="AQX-RD"/>
        <s v="RD" u="1"/>
        <s v="S" u="1"/>
        <s v="A" u="1"/>
        <s v="Testigo3" u="1"/>
        <s v="Testigo4" u="1"/>
        <s v="Testigo5" u="1"/>
        <s v="Testigo6" u="1"/>
        <s v="Testigo7" u="1"/>
        <s v="Testigo8" u="1"/>
        <s v="Testigo9" u="1"/>
        <s v="Testigo10" u="1"/>
        <s v="Testigo11" u="1"/>
        <s v="Testigo12" u="1"/>
        <s v="Testigo13" u="1"/>
        <s v="Testigo14" u="1"/>
        <s v="Testigo15" u="1"/>
        <s v="Testigo16" u="1"/>
        <s v="Testigo17" u="1"/>
        <s v="Testigo18" u="1"/>
        <s v="Testigo19" u="1"/>
        <s v="Testigo20" u="1"/>
        <s v="Agripac" u="1"/>
        <s v="Testigo 1" u="1"/>
        <s v="Testigo2" u="1"/>
        <s v="Skretting" u="1"/>
      </sharedItems>
    </cacheField>
    <cacheField name="Ha" numFmtId="0">
      <sharedItems containsSemiMixedTypes="0" containsString="0" containsNumber="1" minValue="2" maxValue="15.27"/>
    </cacheField>
    <cacheField name="Siembra" numFmtId="0">
      <sharedItems containsSemiMixedTypes="0" containsNonDate="0" containsDate="1" containsString="0" minDate="2025-07-01T00:00:00" maxDate="2026-01-18T00:00:00"/>
    </cacheField>
    <cacheField name="Fecha" numFmtId="0">
      <sharedItems containsSemiMixedTypes="0" containsNonDate="0" containsDate="1" containsString="0" minDate="2025-06-29T00:00:00" maxDate="2026-02-20T00:00:00" count="46">
        <d v="2025-07-06T00:00:00"/>
        <d v="2025-07-13T00:00:00"/>
        <d v="2025-07-20T00:00:00"/>
        <d v="2025-07-27T00:00:00"/>
        <d v="2025-07-31T00:00:00"/>
        <d v="2025-08-07T00:00:00"/>
        <d v="2025-08-14T00:00:00"/>
        <d v="2025-08-21T00:00:00"/>
        <d v="2025-08-27T00:00:00"/>
        <d v="2025-08-28T00:00:00"/>
        <d v="2025-09-03T00:00:00"/>
        <d v="2025-09-10T00:00:00"/>
        <d v="2025-09-17T00:00:00"/>
        <d v="2025-09-24T00:00:00"/>
        <d v="2025-10-01T00:00:00"/>
        <d v="2025-10-08T00:00:00"/>
        <d v="2025-10-15T00:00:00"/>
        <d v="2025-10-22T00:00:00"/>
        <d v="2025-10-29T00:00:00"/>
        <d v="2025-11-02T00:00:00"/>
        <d v="2025-10-18T00:00:00"/>
        <d v="2025-10-21T00:00:00"/>
        <d v="2025-10-28T00:00:00"/>
        <d v="2025-11-04T00:00:00"/>
        <d v="2025-11-11T00:00:00"/>
        <d v="2025-11-18T00:00:00"/>
        <d v="2025-11-25T00:00:00"/>
        <d v="2025-12-02T00:00:00"/>
        <d v="2025-12-12T00:00:00"/>
        <d v="2025-12-25T00:00:00"/>
        <d v="2026-01-01T00:00:00"/>
        <d v="2026-01-08T00:00:00"/>
        <d v="2026-01-15T00:00:00"/>
        <d v="2026-01-22T00:00:00"/>
        <d v="2026-01-29T00:00:00"/>
        <d v="2026-02-05T00:00:00"/>
        <d v="2026-02-12T00:00:00"/>
        <d v="2026-02-19T00:00:00"/>
        <d v="2025-06-29T00:00:00" u="1"/>
        <d v="2025-08-02T00:00:00" u="1"/>
        <d v="2025-11-12T00:00:00" u="1"/>
        <d v="2025-08-16T00:00:00" u="1"/>
        <d v="2025-08-09T00:00:00" u="1"/>
        <d v="2025-08-03T00:00:00" u="1"/>
        <d v="2025-08-10T00:00:00" u="1"/>
        <d v="2025-07-14T00:00:00" u="1"/>
      </sharedItems>
      <fieldGroup par="48"/>
    </cacheField>
    <cacheField name="Días" numFmtId="1">
      <sharedItems containsSemiMixedTypes="0" containsString="0" containsNumber="1" containsInteger="1" minValue="0" maxValue="120"/>
    </cacheField>
    <cacheField name="%Diferencia  Alimentación Actual&amp;Teórica" numFmtId="2">
      <sharedItems containsMixedTypes="1" containsNumber="1" minValue="-100" maxValue="62.162162162162161"/>
    </cacheField>
    <cacheField name="Kg/ semanal" numFmtId="0">
      <sharedItems containsString="0" containsBlank="1" containsNumber="1" containsInteger="1" minValue="350" maxValue="5488"/>
    </cacheField>
    <cacheField name="Bal Acumulado" numFmtId="0">
      <sharedItems containsMixedTypes="1" containsNumber="1" containsInteger="1" minValue="0" maxValue="24305"/>
    </cacheField>
    <cacheField name="Fca" numFmtId="2">
      <sharedItems containsMixedTypes="1" containsNumber="1" minValue="0" maxValue="1.2435214343828658"/>
    </cacheField>
    <cacheField name="Lbs/ha" numFmtId="0">
      <sharedItems containsSemiMixedTypes="0" containsString="0" containsNumber="1" minValue="0" maxValue="18641.018226872253"/>
    </cacheField>
    <cacheField name="Kg/Ha Actual" numFmtId="0">
      <sharedItems containsString="0" containsBlank="1" containsNumber="1" minValue="0" maxValue="200"/>
    </cacheField>
    <cacheField name="Kg/ 100mil" numFmtId="0">
      <sharedItems containsMixedTypes="1" containsNumber="1" minValue="0" maxValue="83.033001201328517"/>
    </cacheField>
    <cacheField name="Kg Alimento diario " numFmtId="167">
      <sharedItems containsString="0" containsBlank="1" containsNumber="1" minValue="0" maxValue="2249.2710000000002"/>
    </cacheField>
    <cacheField name="Kg/Ha Sugerido" numFmtId="1">
      <sharedItems containsSemiMixedTypes="0" containsString="0" containsNumber="1" minValue="0" maxValue="216.13832853025934"/>
    </cacheField>
    <cacheField name="Kg Alimento Sugerido" numFmtId="167">
      <sharedItems containsString="0" containsBlank="1" containsNumber="1" containsInteger="1" minValue="95" maxValue="3255"/>
    </cacheField>
    <cacheField name="Kg Minimo" numFmtId="167">
      <sharedItems containsString="0" containsBlank="1" containsNumber="1" containsInteger="1" minValue="95" maxValue="740"/>
    </cacheField>
    <cacheField name="Kg/Ha min" numFmtId="167">
      <sharedItems containsSemiMixedTypes="0" containsString="0" containsNumber="1" minValue="0" maxValue="121.69811320754718"/>
    </cacheField>
    <cacheField name="Peso Actual" numFmtId="0">
      <sharedItems containsString="0" containsBlank="1" containsNumber="1" minValue="0.5" maxValue="38"/>
    </cacheField>
    <cacheField name="BW   Actual" numFmtId="10">
      <sharedItems containsMixedTypes="1" containsNumber="1" minValue="0" maxValue="0.16928585745318231"/>
    </cacheField>
    <cacheField name="BW Sugerida" numFmtId="10">
      <sharedItems containsMixedTypes="1" containsNumber="1" minValue="2.7999999999999997E-2" maxValue="0.11"/>
    </cacheField>
    <cacheField name="BW(min)" numFmtId="10">
      <sharedItems containsMixedTypes="1" containsNumber="1" minValue="2.4810397496829045E-2" maxValue="9.6343049645218129E-2"/>
    </cacheField>
    <cacheField name="Biomasa_x000a_Lb/Ha bajo sugerencia" numFmtId="167">
      <sharedItems containsMixedTypes="1" containsNumber="1" minValue="0" maxValue="15850.144092219021"/>
    </cacheField>
    <cacheField name="Biomasa de camaron  " numFmtId="167">
      <sharedItems containsMixedTypes="1" containsNumber="1" minValue="0" maxValue="70760.869565217392"/>
    </cacheField>
    <cacheField name="Biomasa de camaron  2" numFmtId="167">
      <sharedItems containsMixedTypes="1" containsNumber="1" minValue="0" maxValue="21391.072091734255"/>
    </cacheField>
    <cacheField name="Biomasa_x000a_Lb/Ha bajo reportado" numFmtId="167">
      <sharedItems containsSemiMixedTypes="0" containsString="0" containsNumber="1" minValue="0" maxValue="124614.92736000002"/>
    </cacheField>
    <cacheField name="Biomasa de Camaron bajo reportado" numFmtId="167">
      <sharedItems containsSemiMixedTypes="0" containsString="0" containsNumber="1" minValue="0" maxValue="56643.148800000003"/>
    </cacheField>
    <cacheField name="Biomasa/Ha Camaron Alimentación Actual" numFmtId="167">
      <sharedItems containsMixedTypes="1" containsNumber="1" minValue="0" maxValue="10214.285714285717"/>
    </cacheField>
    <cacheField name="Biomasa de camaron alimentacion actual" numFmtId="167">
      <sharedItems containsMixedTypes="1" containsNumber="1" minValue="0" maxValue="56782.14285714287"/>
    </cacheField>
    <cacheField name="Biomasa de camaron alimentacion 2" numFmtId="167">
      <sharedItems containsMixedTypes="1" containsNumber="1" minValue="0" maxValue="21391.072091734255"/>
    </cacheField>
    <cacheField name="Animales Sembrados" numFmtId="167">
      <sharedItems containsSemiMixedTypes="0" containsString="0" containsNumber="1" minValue="0" maxValue="5497200"/>
    </cacheField>
    <cacheField name="Densidad/ha" numFmtId="167">
      <sharedItems containsString="0" containsBlank="1" containsNumber="1" containsInteger="1" minValue="120000" maxValue="360000"/>
    </cacheField>
    <cacheField name="Animales vivos reportados" numFmtId="167">
      <sharedItems containsSemiMixedTypes="0" containsString="0" containsNumber="1" minValue="0" maxValue="5497200"/>
    </cacheField>
    <cacheField name="Biomasa Lbs/Ha" numFmtId="167">
      <sharedItems containsSemiMixedTypes="0" containsString="0" containsNumber="1" minValue="0" maxValue="18641.018226872253"/>
    </cacheField>
    <cacheField name="Animales según alimentación sugerida" numFmtId="167">
      <sharedItems containsMixedTypes="1" containsNumber="1" minValue="0" maxValue="5454545.4545454541"/>
    </cacheField>
    <cacheField name="Animales según alimentación actual" numFmtId="167">
      <sharedItems containsString="0" containsBlank="1" containsNumber="1" minValue="0" maxValue="3902333.333333334"/>
    </cacheField>
    <cacheField name="Animales según tabla 2(Min)" numFmtId="167">
      <sharedItems containsMixedTypes="1" containsNumber="1" minValue="0" maxValue="1622972.4041560567"/>
    </cacheField>
    <cacheField name="#AA" numFmtId="167">
      <sharedItems containsString="0" containsBlank="1" containsNumber="1" containsInteger="1" minValue="3" maxValue="4"/>
    </cacheField>
    <cacheField name="AnimalesAA" numFmtId="1">
      <sharedItems containsMixedTypes="1" containsNumber="1" minValue="0" maxValue="1374300"/>
    </cacheField>
    <cacheField name="Incremento actual" numFmtId="2">
      <sharedItems containsString="0" containsBlank="1" containsNumber="1" minValue="-8.6999999999999993" maxValue="11.6"/>
    </cacheField>
    <cacheField name="Incremento teorico" numFmtId="2">
      <sharedItems containsBlank="1" containsMixedTypes="1" containsNumber="1" minValue="0.5" maxValue="3"/>
    </cacheField>
    <cacheField name="Sobrevivencia total  en finca" numFmtId="0">
      <sharedItems containsString="0" containsBlank="1" containsNumber="1" minValue="53" maxValue="117"/>
    </cacheField>
    <cacheField name="CXMT ACTUAL" numFmtId="0">
      <sharedItems containsString="0" containsBlank="1" containsNumber="1" minValue="0" maxValue="35.842293906810035"/>
    </cacheField>
    <cacheField name="Sobrevivencia actual en agua" numFmtId="0">
      <sharedItems containsBlank="1" containsMixedTypes="1" containsNumber="1" minValue="0" maxValue="2.8"/>
    </cacheField>
    <cacheField name="sobrevivencia actual por consumo " numFmtId="9">
      <sharedItems containsMixedTypes="1" containsNumber="1" minValue="0" maxValue="1.5235727170786408"/>
    </cacheField>
    <cacheField name="Observación" numFmtId="165">
      <sharedItems containsBlank="1"/>
    </cacheField>
    <cacheField name="Meses (Fecha)" numFmtId="0" databaseField="0">
      <fieldGroup base="4">
        <rangePr groupBy="months" startDate="2025-07-06T00:00:00" endDate="2026-02-20T00:00:00"/>
        <groupItems count="14">
          <s v="&lt;6/7/2025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20/2/2026"/>
        </groupItems>
      </fieldGroup>
    </cacheField>
    <cacheField name="Trimestres (Fecha)" numFmtId="0" databaseField="0">
      <fieldGroup base="4">
        <rangePr groupBy="quarters" startDate="2025-07-06T00:00:00" endDate="2026-02-20T00:00:00"/>
        <groupItems count="6">
          <s v="&lt;6/7/2025"/>
          <s v="Trim.1"/>
          <s v="Trim.2"/>
          <s v="Trim.3"/>
          <s v="Trim.4"/>
          <s v="&gt;20/2/2026"/>
        </groupItems>
      </fieldGroup>
    </cacheField>
    <cacheField name="Años (Fecha)" numFmtId="0" databaseField="0">
      <fieldGroup base="4">
        <rangePr groupBy="years" startDate="2025-07-06T00:00:00" endDate="2026-02-20T00:00:00"/>
        <groupItems count="4">
          <s v="&lt;6/7/2025"/>
          <s v="2025"/>
          <s v="2026"/>
          <s v="&gt;20/2/2026"/>
        </groupItems>
      </fieldGroup>
    </cacheField>
  </cacheFields>
  <extLst>
    <ext xmlns:x14="http://schemas.microsoft.com/office/spreadsheetml/2009/9/main" uri="{725AE2AE-9491-48be-B2B4-4EB974FC3084}">
      <x14:pivotCacheDefinition pivotCacheId="68435799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x v="0"/>
    <x v="0"/>
    <n v="6.94"/>
    <d v="2025-07-05T00:00:00"/>
    <x v="0"/>
    <n v="1"/>
    <n v="-84.658947368421053"/>
    <m/>
    <n v="0"/>
    <n v="0"/>
    <n v="275.39823788546261"/>
    <n v="2.1"/>
    <n v="0.83979307498632327"/>
    <n v="14.574000000000002"/>
    <n v="13.688760806916425"/>
    <n v="95"/>
    <m/>
    <n v="0"/>
    <n v="0.5"/>
    <n v="1.6795861499726464E-2"/>
    <n v="0.11"/>
    <n v="9.6343049645218129E-2"/>
    <n v="273.77521613832852"/>
    <n v="863.63636363636363"/>
    <n v="0"/>
    <n v="1527.1762035200006"/>
    <n v="694.17100160000018"/>
    <n v="42"/>
    <n v="132.4909090909091"/>
    <n v="0"/>
    <n v="2169284.3800000004"/>
    <n v="312577"/>
    <n v="1735427.5040000004"/>
    <n v="275.39823788546261"/>
    <n v="1727272.7272727273"/>
    <n v="264981.81818181818"/>
    <n v="0"/>
    <n v="4"/>
    <n v="433856.87600000011"/>
    <m/>
    <m/>
    <n v="80"/>
    <m/>
    <n v="0"/>
    <n v="0.12215171999801065"/>
    <m/>
  </r>
  <r>
    <x v="1"/>
    <x v="0"/>
    <n v="12.23"/>
    <d v="2025-07-01T00:00:00"/>
    <x v="0"/>
    <n v="5"/>
    <n v="-41.296000000000006"/>
    <m/>
    <e v="#VALUE!"/>
    <e v="#VALUE!"/>
    <n v="420.66416299559467"/>
    <n v="11.999999999999998"/>
    <n v="5.4664972052533027"/>
    <n v="146.76"/>
    <n v="20.441537203597711"/>
    <n v="250"/>
    <m/>
    <n v="0"/>
    <n v="0.87"/>
    <n v="6.2833301209808082E-2"/>
    <n v="0.11"/>
    <n v="9.1311735071987532E-2"/>
    <n v="408.8307440719542"/>
    <n v="2272.7272727272725"/>
    <n v="0"/>
    <n v="4624.6941415620013"/>
    <n v="2102.1337007100005"/>
    <n v="240"/>
    <n v="1334.181818181818"/>
    <n v="0"/>
    <n v="2983019.3000000003"/>
    <n v="243910"/>
    <n v="2684717.37"/>
    <n v="420.66416299559467"/>
    <n v="2612330.198537095"/>
    <n v="1533542.3197492163"/>
    <n v="0"/>
    <n v="4"/>
    <n v="671179.34250000003"/>
    <m/>
    <m/>
    <n v="90"/>
    <m/>
    <n v="0"/>
    <n v="0.51409064626206613"/>
    <m/>
  </r>
  <r>
    <x v="0"/>
    <x v="0"/>
    <n v="6.94"/>
    <d v="2025-07-05T00:00:00"/>
    <x v="1"/>
    <n v="8"/>
    <n v="-84.658947368421053"/>
    <m/>
    <n v="0"/>
    <n v="0"/>
    <n v="275.39823788546261"/>
    <n v="2.1"/>
    <n v="0.83979307498632327"/>
    <n v="14.574000000000002"/>
    <n v="13.688760806916425"/>
    <n v="95"/>
    <m/>
    <n v="0"/>
    <n v="0.5"/>
    <n v="1.6795861499726464E-2"/>
    <n v="0.11"/>
    <n v="9.6343049645218129E-2"/>
    <n v="273.77521613832852"/>
    <n v="863.63636363636363"/>
    <n v="0"/>
    <n v="1527.1762035200006"/>
    <n v="694.17100160000018"/>
    <n v="42"/>
    <n v="132.4909090909091"/>
    <n v="0"/>
    <n v="2169284.3800000004"/>
    <n v="312577"/>
    <n v="1735427.5040000004"/>
    <n v="275.39823788546261"/>
    <n v="1727272.7272727273"/>
    <n v="264981.81818181818"/>
    <n v="0"/>
    <n v="4"/>
    <n v="433856.87600000011"/>
    <n v="0.2"/>
    <n v="0.5"/>
    <n v="80"/>
    <m/>
    <n v="0"/>
    <n v="0.12215171999801065"/>
    <m/>
  </r>
  <r>
    <x v="1"/>
    <x v="0"/>
    <n v="12.23"/>
    <d v="2025-07-01T00:00:00"/>
    <x v="1"/>
    <n v="12"/>
    <n v="-18.466666666666658"/>
    <m/>
    <e v="#VALUE!"/>
    <e v="#VALUE!"/>
    <n v="918.6918502202642"/>
    <n v="30"/>
    <n v="13.66624301313326"/>
    <n v="366.90000000000003"/>
    <n v="36.794766966475876"/>
    <n v="450"/>
    <m/>
    <n v="0"/>
    <n v="1.9"/>
    <n v="7.1927594805964529E-2"/>
    <n v="9.1999999999999998E-2"/>
    <n v="7.7146232904836978E-2"/>
    <n v="879.87486224181453"/>
    <n v="4891.304347826087"/>
    <n v="0"/>
    <n v="10099.906745940001"/>
    <n v="4590.8667027000001"/>
    <n v="717.39130434782612"/>
    <n v="3988.04347826087"/>
    <n v="0"/>
    <n v="2983019.3000000003"/>
    <n v="243910"/>
    <n v="2684717.37"/>
    <n v="918.6918502202642"/>
    <n v="2574370.7093821513"/>
    <n v="2098970.2517162473"/>
    <n v="0"/>
    <n v="4"/>
    <n v="671179.34250000003"/>
    <n v="1.0299999999999998"/>
    <m/>
    <n v="90"/>
    <m/>
    <n v="0"/>
    <n v="0.70363951440617467"/>
    <m/>
  </r>
  <r>
    <x v="0"/>
    <x v="0"/>
    <n v="6.94"/>
    <d v="2025-07-05T00:00:00"/>
    <x v="2"/>
    <n v="15"/>
    <n v="9.6520000000000064"/>
    <m/>
    <n v="0"/>
    <n v="0"/>
    <n v="440.63718061674018"/>
    <n v="23.7"/>
    <n v="9.4776647034170765"/>
    <n v="164.47800000000001"/>
    <n v="21.613832853025936"/>
    <n v="150"/>
    <m/>
    <n v="0"/>
    <n v="0.8"/>
    <n v="0.11847080879271345"/>
    <n v="0.11"/>
    <n v="9.1311735071987532E-2"/>
    <n v="432.2766570605188"/>
    <n v="1363.6363636363637"/>
    <n v="0"/>
    <n v="2443.4819256320006"/>
    <n v="1110.6736025600003"/>
    <n v="474"/>
    <n v="1495.2545454545455"/>
    <n v="0"/>
    <n v="2169284.3800000004"/>
    <n v="312577"/>
    <n v="1735427.5040000004"/>
    <n v="440.63718061674018"/>
    <n v="1704545.4545454546"/>
    <n v="1869068.1818181816"/>
    <n v="0"/>
    <n v="4"/>
    <n v="433856.87600000011"/>
    <n v="0.30000000000000004"/>
    <e v="#REF!"/>
    <n v="80"/>
    <m/>
    <n v="0"/>
    <n v="0.86160588212882505"/>
    <s v="timer"/>
  </r>
  <r>
    <x v="1"/>
    <x v="0"/>
    <n v="12.23"/>
    <d v="2025-07-01T00:00:00"/>
    <x v="2"/>
    <n v="19"/>
    <n v="6.3636363636367765E-2"/>
    <m/>
    <e v="#VALUE!"/>
    <e v="#VALUE!"/>
    <n v="967.04405286343615"/>
    <n v="45"/>
    <n v="20.499364519699888"/>
    <n v="550.35"/>
    <n v="44.971381847914962"/>
    <n v="550"/>
    <m/>
    <n v="0"/>
    <n v="2"/>
    <n v="0.10249682259849945"/>
    <n v="0.09"/>
    <n v="7.6134243020915385E-2"/>
    <n v="1099.3004451712548"/>
    <n v="6111.1111111111113"/>
    <n v="0"/>
    <n v="10631.480785200003"/>
    <n v="4832.4912660000009"/>
    <n v="1100.0000000000002"/>
    <n v="6115.0000000000009"/>
    <n v="0"/>
    <n v="2983019.3000000003"/>
    <n v="243910"/>
    <n v="2684717.37"/>
    <n v="967.04405286343615"/>
    <n v="3055555.5555555555"/>
    <n v="3057500.0000000005"/>
    <n v="0"/>
    <n v="4"/>
    <n v="671179.34250000003"/>
    <n v="0.5"/>
    <m/>
    <n v="90"/>
    <m/>
    <n v="0"/>
    <n v="1.0249682259849946"/>
    <s v="timer"/>
  </r>
  <r>
    <x v="0"/>
    <x v="0"/>
    <n v="6.94"/>
    <d v="2025-07-05T00:00:00"/>
    <x v="3"/>
    <n v="22"/>
    <n v="0.10031152647975164"/>
    <m/>
    <n v="0"/>
    <n v="0"/>
    <n v="1101.5929515418504"/>
    <n v="46.3"/>
    <n v="18.515437796127031"/>
    <n v="321.322"/>
    <n v="46.253602305475503"/>
    <n v="321"/>
    <m/>
    <n v="0"/>
    <n v="2"/>
    <n v="9.2577188980635147E-2"/>
    <n v="0.09"/>
    <n v="7.6134243020915385E-2"/>
    <n v="1130.6436119116236"/>
    <n v="3566.666666666667"/>
    <n v="0"/>
    <n v="6108.7048140800025"/>
    <n v="2776.6840064000007"/>
    <n v="1131.7777777777778"/>
    <n v="3570.2444444444445"/>
    <n v="0"/>
    <n v="2169284.3800000004"/>
    <n v="312577"/>
    <n v="1735427.5040000004"/>
    <n v="1101.5929515418504"/>
    <n v="1783333.3333333335"/>
    <n v="1785122.2222222222"/>
    <n v="0"/>
    <n v="4"/>
    <n v="433856.87600000011"/>
    <n v="1.2"/>
    <e v="#REF!"/>
    <n v="80"/>
    <m/>
    <n v="0"/>
    <n v="0.8229083464945347"/>
    <s v="Sónico, consumiendo 80 kg/ha"/>
  </r>
  <r>
    <x v="1"/>
    <x v="0"/>
    <n v="12.23"/>
    <d v="2025-07-01T00:00:00"/>
    <x v="3"/>
    <n v="26"/>
    <n v="-12.313207547169808"/>
    <m/>
    <e v="#VALUE!"/>
    <e v="#VALUE!"/>
    <n v="6575.8995594713651"/>
    <n v="57"/>
    <n v="25.965861724953193"/>
    <n v="697.11"/>
    <n v="65.004088307440711"/>
    <n v="795"/>
    <m/>
    <n v="0"/>
    <n v="13.6"/>
    <n v="1.9092545385994995E-2"/>
    <n v="5.0999999999999997E-2"/>
    <n v="4.4659730316940816E-2"/>
    <n v="2804.0979269876393"/>
    <n v="15588.235294117649"/>
    <n v="0"/>
    <n v="72294.069339360009"/>
    <n v="32860.940608800003"/>
    <n v="2458.8235294117653"/>
    <n v="13668.823529411766"/>
    <n v="0"/>
    <n v="2983019.3000000003"/>
    <n v="243910"/>
    <n v="2684717.37"/>
    <n v="6575.8995594713651"/>
    <n v="1146193.7716262976"/>
    <n v="1005060.5536332182"/>
    <n v="0"/>
    <n v="4"/>
    <n v="671179.34250000003"/>
    <n v="11.6"/>
    <m/>
    <n v="90"/>
    <m/>
    <n v="0"/>
    <n v="0.33692727151755875"/>
    <s v="Sónico, consumiendo 55kg/ha"/>
  </r>
  <r>
    <x v="0"/>
    <x v="0"/>
    <n v="6.94"/>
    <d v="2025-07-05T00:00:00"/>
    <x v="4"/>
    <n v="26"/>
    <n v="-22.929473684210521"/>
    <m/>
    <n v="0"/>
    <n v="0"/>
    <n v="2148.1062555066082"/>
    <n v="63.3"/>
    <n v="25.313762688873457"/>
    <n v="439.30200000000002"/>
    <n v="82.132564841498549"/>
    <n v="570"/>
    <m/>
    <n v="0"/>
    <n v="3.9"/>
    <n v="6.490708381762425E-2"/>
    <n v="8.4000000000000005E-2"/>
    <n v="6.2862500592859638E-2"/>
    <n v="2151.0909839440101"/>
    <n v="6785.7142857142853"/>
    <n v="0"/>
    <n v="11911.974387456004"/>
    <n v="5414.5338124800019"/>
    <n v="1657.8571428571427"/>
    <n v="5229.7857142857138"/>
    <n v="0"/>
    <n v="2169284.3800000004"/>
    <n v="312577"/>
    <n v="1735427.5040000004"/>
    <n v="2148.1062555066082"/>
    <n v="1739926.7399267398"/>
    <n v="1340970.6959706959"/>
    <n v="0"/>
    <n v="4"/>
    <n v="433856.87600000011"/>
    <n v="1.9"/>
    <e v="#REF!"/>
    <n v="80"/>
    <m/>
    <n v="0"/>
    <n v="0.61816270302499288"/>
    <s v="Sónico"/>
  </r>
  <r>
    <x v="1"/>
    <x v="0"/>
    <n v="12.23"/>
    <d v="2025-07-01T00:00:00"/>
    <x v="4"/>
    <n v="30"/>
    <n v="-3.5555555555555554"/>
    <m/>
    <e v="#VALUE!"/>
    <e v="#VALUE!"/>
    <n v="2106.0070484581502"/>
    <n v="70.973017170891254"/>
    <n v="36.372543751225471"/>
    <n v="868"/>
    <n v="73.589533932951753"/>
    <n v="900"/>
    <m/>
    <n v="0"/>
    <n v="4.9000000000000004"/>
    <n v="7.4229681124949931E-2"/>
    <n v="0.08"/>
    <n v="5.9024709728382654E-2"/>
    <n v="2023.7121831561733"/>
    <n v="11250"/>
    <n v="0"/>
    <n v="20580.446754560009"/>
    <n v="9354.748524800003"/>
    <n v="1951.7579721995096"/>
    <n v="10850"/>
    <n v="0"/>
    <n v="2983019.3000000003"/>
    <n v="243910"/>
    <n v="2386415.4400000004"/>
    <n v="2106.0070484581502"/>
    <n v="2295918.3673469387"/>
    <n v="2214285.7142857141"/>
    <n v="0"/>
    <n v="4"/>
    <n v="596603.8600000001"/>
    <n v="-8.6999999999999993"/>
    <m/>
    <n v="80"/>
    <m/>
    <n v="0"/>
    <n v="0.74229681124949942"/>
    <s v="Sónico"/>
  </r>
  <r>
    <x v="0"/>
    <x v="0"/>
    <n v="6.94"/>
    <d v="2025-07-05T00:00:00"/>
    <x v="5"/>
    <n v="33"/>
    <n v="-22.727761194029846"/>
    <m/>
    <n v="0"/>
    <n v="0"/>
    <n v="2643.8230837004407"/>
    <n v="74.599999999999994"/>
    <n v="29.832649235228434"/>
    <n v="517.72400000000005"/>
    <n v="96.541786743515843"/>
    <n v="670"/>
    <m/>
    <n v="0"/>
    <n v="4.8"/>
    <n v="6.215135257339257E-2"/>
    <n v="0.08"/>
    <n v="5.9341484835740754E-2"/>
    <n v="2654.8991354466857"/>
    <n v="8375"/>
    <n v="0"/>
    <n v="14660.891553792006"/>
    <n v="6664.0416153600017"/>
    <n v="2051.5"/>
    <n v="6471.55"/>
    <n v="0"/>
    <n v="2169284.3800000004"/>
    <n v="312577"/>
    <n v="1735427.5040000004"/>
    <n v="2643.8230837004407"/>
    <n v="1744791.6666666667"/>
    <n v="1348239.5833333335"/>
    <n v="0"/>
    <n v="4"/>
    <n v="433856.87600000011"/>
    <n v="0.89999999999999991"/>
    <e v="#REF!"/>
    <n v="80"/>
    <m/>
    <n v="0"/>
    <n v="0.62151352573392582"/>
    <s v="Sónico"/>
  </r>
  <r>
    <x v="1"/>
    <x v="0"/>
    <n v="12.23"/>
    <d v="2025-07-01T00:00:00"/>
    <x v="5"/>
    <n v="37"/>
    <n v="-19.022222222222222"/>
    <m/>
    <e v="#VALUE!"/>
    <e v="#VALUE!"/>
    <n v="3395.3991189427315"/>
    <n v="74.48896156991006"/>
    <n v="38.174409397887565"/>
    <n v="911"/>
    <n v="91.986917416189698"/>
    <n v="1125"/>
    <m/>
    <n v="0"/>
    <n v="7.9"/>
    <n v="4.8322037212515899E-2"/>
    <n v="6.8000000000000005E-2"/>
    <n v="5.3830183678231662E-2"/>
    <n v="2976.0473281708432"/>
    <n v="16544.117647058822"/>
    <n v="0"/>
    <n v="33180.720277760011"/>
    <n v="15082.145580800005"/>
    <n v="2409.9369919676783"/>
    <n v="13397.058823529411"/>
    <n v="0"/>
    <n v="2983019.3000000003"/>
    <n v="243910"/>
    <n v="2386415.4400000004"/>
    <n v="3395.3991189427315"/>
    <n v="2094192.1072226355"/>
    <n v="1695830.2308265076"/>
    <n v="0"/>
    <n v="4"/>
    <n v="596603.8600000001"/>
    <n v="3"/>
    <m/>
    <n v="80"/>
    <m/>
    <n v="0"/>
    <n v="0.56849455544136351"/>
    <s v="Sónico"/>
  </r>
  <r>
    <x v="0"/>
    <x v="0"/>
    <n v="6.94"/>
    <d v="2025-07-05T00:00:00"/>
    <x v="6"/>
    <n v="40"/>
    <n v="-30.985555555555557"/>
    <m/>
    <n v="0"/>
    <n v="0"/>
    <n v="4075.8939207048466"/>
    <n v="89.5"/>
    <n v="35.791181052988534"/>
    <n v="621.13"/>
    <n v="129.68299711815561"/>
    <n v="900"/>
    <m/>
    <n v="0"/>
    <n v="7.4"/>
    <n v="4.8366460882416938E-2"/>
    <n v="7.0000000000000007E-2"/>
    <n v="5.4280345223018805E-2"/>
    <n v="4075.751337999176"/>
    <n v="12857.142857142855"/>
    <n v="0"/>
    <n v="22602.20781209601"/>
    <n v="10273.730823680004"/>
    <n v="2812.8571428571427"/>
    <n v="8873.2857142857138"/>
    <n v="0"/>
    <n v="2169284.3800000004"/>
    <n v="312577"/>
    <n v="1735427.5040000004"/>
    <n v="4075.8939207048466"/>
    <n v="1737451.737451737"/>
    <n v="1199092.6640926641"/>
    <n v="0"/>
    <n v="4"/>
    <n v="433856.87600000011"/>
    <n v="2.6000000000000005"/>
    <e v="#REF!"/>
    <n v="80"/>
    <m/>
    <n v="0"/>
    <n v="0.55275955294190793"/>
    <s v="Sónico"/>
  </r>
  <r>
    <x v="1"/>
    <x v="0"/>
    <n v="12.23"/>
    <d v="2025-07-01T00:00:00"/>
    <x v="6"/>
    <n v="44"/>
    <n v="-15.384615384615385"/>
    <m/>
    <e v="#VALUE!"/>
    <e v="#VALUE!"/>
    <n v="5036.6877753303961"/>
    <n v="89.942763695829925"/>
    <n v="49.167186637601262"/>
    <n v="1100"/>
    <n v="106.2959934587081"/>
    <n v="1300"/>
    <m/>
    <n v="0"/>
    <n v="12.5"/>
    <n v="3.9333749310081004E-2"/>
    <n v="5.2999999999999999E-2"/>
    <n v="4.6289013878238486E-2"/>
    <n v="4412.286520927506"/>
    <n v="24528.301886792455"/>
    <n v="0"/>
    <n v="46143.579796875012"/>
    <n v="20974.354453125005"/>
    <n v="3733.473210015582"/>
    <n v="20754.716981132075"/>
    <n v="0"/>
    <n v="2983019.3000000003"/>
    <n v="243910"/>
    <n v="2237264.4750000001"/>
    <n v="5036.6877753303961"/>
    <n v="1962264.1509433964"/>
    <n v="1660377.358490566"/>
    <n v="0"/>
    <n v="4"/>
    <n v="559316.11875000002"/>
    <n v="3.1"/>
    <m/>
    <n v="75"/>
    <m/>
    <n v="0"/>
    <n v="0.55660966004831613"/>
    <s v="Sónico"/>
  </r>
  <r>
    <x v="0"/>
    <x v="0"/>
    <n v="6.94"/>
    <d v="2025-07-05T00:00:00"/>
    <x v="7"/>
    <n v="47"/>
    <n v="-33.584199999999996"/>
    <m/>
    <n v="0"/>
    <n v="0"/>
    <n v="5232.5665198237893"/>
    <n v="95.7"/>
    <n v="38.270570131519584"/>
    <n v="664.15800000000002"/>
    <n v="144.09221902017291"/>
    <n v="1000"/>
    <m/>
    <n v="0"/>
    <n v="9.5"/>
    <n v="4.0284810664757455E-2"/>
    <n v="0.06"/>
    <n v="5.1590523872111632E-2"/>
    <n v="5283.3813640730077"/>
    <n v="16666.666666666668"/>
    <n v="0"/>
    <n v="29016.347866880013"/>
    <n v="13189.249030400004"/>
    <n v="3509.0000000000005"/>
    <n v="11069.300000000001"/>
    <n v="0"/>
    <n v="2169284.3800000004"/>
    <n v="312577"/>
    <n v="1735427.5040000004"/>
    <n v="5232.5665198237893"/>
    <n v="1754385.9649122809"/>
    <n v="1165189.4736842108"/>
    <n v="0"/>
    <n v="4"/>
    <n v="433856.87600000011"/>
    <n v="2.0999999999999996"/>
    <e v="#REF!"/>
    <n v="80"/>
    <m/>
    <n v="0"/>
    <n v="0.5371308088634329"/>
    <m/>
  </r>
  <r>
    <x v="1"/>
    <x v="0"/>
    <n v="12.23"/>
    <d v="2025-07-01T00:00:00"/>
    <x v="7"/>
    <n v="51"/>
    <n v="0.91666666666666663"/>
    <m/>
    <e v="#VALUE!"/>
    <e v="#VALUE!"/>
    <n v="6704.8387665198243"/>
    <n v="99.018806214227311"/>
    <n v="50.745565072274246"/>
    <n v="1211"/>
    <n v="98.119378577269003"/>
    <n v="1200"/>
    <m/>
    <n v="0"/>
    <n v="15.6"/>
    <n v="3.2529208379662979E-2"/>
    <n v="4.7E-2"/>
    <n v="4.2009309543394956E-2"/>
    <n v="4592.821975957273"/>
    <n v="25531.91489361702"/>
    <n v="0"/>
    <n v="65521.42232064002"/>
    <n v="29782.464691200006"/>
    <n v="4634.9228440702154"/>
    <n v="25765.957446808512"/>
    <n v="0"/>
    <n v="2983019.3000000003"/>
    <n v="243910"/>
    <n v="2386415.4400000004"/>
    <n v="6704.8387665198243"/>
    <n v="1636661.2111292961"/>
    <n v="1651663.9388979815"/>
    <n v="0"/>
    <n v="4"/>
    <n v="596603.8600000001"/>
    <n v="3.3"/>
    <m/>
    <n v="80"/>
    <m/>
    <n v="0"/>
    <n v="0.55368865327085925"/>
    <s v="Validar población, consumo para menor población"/>
  </r>
  <r>
    <x v="0"/>
    <x v="0"/>
    <n v="6.94"/>
    <d v="2025-07-05T00:00:00"/>
    <x v="8"/>
    <n v="53"/>
    <n v="-39.772869565217391"/>
    <m/>
    <n v="0"/>
    <n v="0"/>
    <n v="6940.0355947136568"/>
    <n v="99.8"/>
    <n v="39.910166135064308"/>
    <n v="692.61199999999997"/>
    <n v="165.70605187319885"/>
    <n v="1150"/>
    <m/>
    <n v="0"/>
    <n v="12.6"/>
    <n v="3.1674735027828818E-2"/>
    <n v="5.2999999999999999E-2"/>
    <n v="4.6135086547817665E-2"/>
    <n v="6878.3644173780649"/>
    <n v="21698.113207547169"/>
    <n v="0"/>
    <n v="38484.840328704013"/>
    <n v="17493.109240320005"/>
    <n v="4142.6415094339618"/>
    <n v="13068.150943396226"/>
    <n v="0"/>
    <n v="2169284.3800000004"/>
    <n v="312577"/>
    <n v="1735427.5040000004"/>
    <n v="6940.0355947136568"/>
    <n v="1722072.476789458"/>
    <n v="1037154.8367774782"/>
    <n v="0"/>
    <n v="4"/>
    <n v="433856.87600000011"/>
    <n v="3.0999999999999996"/>
    <e v="#REF!"/>
    <n v="80"/>
    <m/>
    <n v="0"/>
    <n v="0.47810920796722745"/>
    <s v="Presencia de disparidad de tallas"/>
  </r>
  <r>
    <x v="1"/>
    <x v="0"/>
    <n v="12.23"/>
    <d v="2025-07-01T00:00:00"/>
    <x v="8"/>
    <n v="57"/>
    <n v="0"/>
    <m/>
    <e v="#VALUE!"/>
    <e v="#VALUE!"/>
    <n v="7564.4334801762125"/>
    <n v="104"/>
    <n v="41.903852247955612"/>
    <n v="1000"/>
    <n v="81.766148814390846"/>
    <n v="1000"/>
    <m/>
    <n v="0"/>
    <n v="17.600000000000001"/>
    <n v="2.3809006959065685E-2"/>
    <n v="4.4999999999999998E-2"/>
    <n v="3.9679044883899749E-2"/>
    <n v="3997.4561642591084"/>
    <n v="22222.222222222223"/>
    <n v="0"/>
    <n v="73921.604669440014"/>
    <n v="33600.729395200004"/>
    <n v="3997.4561642591084"/>
    <n v="22222.222222222223"/>
    <n v="0"/>
    <n v="2983019.3000000003"/>
    <n v="243910"/>
    <n v="2386415.4400000004"/>
    <n v="7564.4334801762125"/>
    <n v="1262626.2626262626"/>
    <n v="1262626.2626262626"/>
    <n v="0"/>
    <n v="4"/>
    <n v="596603.8600000001"/>
    <n v="2.0000000000000018"/>
    <m/>
    <n v="80"/>
    <m/>
    <n v="0"/>
    <n v="0.42327123482783452"/>
    <s v="Validar población, consumo para menor población, presencia microsporidium, 6% wssv y carga bacteriana"/>
  </r>
  <r>
    <x v="1"/>
    <x v="0"/>
    <n v="12.23"/>
    <d v="2025-07-01T00:00:00"/>
    <x v="9"/>
    <n v="58"/>
    <s v=""/>
    <m/>
    <n v="0"/>
    <e v="#DIV/0!"/>
    <n v="0"/>
    <n v="0"/>
    <e v="#DIV/0!"/>
    <m/>
    <n v="0"/>
    <m/>
    <m/>
    <n v="0"/>
    <m/>
    <e v="#DIV/0!"/>
    <e v="#VALUE!"/>
    <s v=""/>
    <e v="#VALUE!"/>
    <e v="#VALUE!"/>
    <e v="#VALUE!"/>
    <n v="0"/>
    <n v="0"/>
    <e v="#VALUE!"/>
    <e v="#VALUE!"/>
    <e v="#VALUE!"/>
    <n v="0"/>
    <m/>
    <n v="0"/>
    <n v="0"/>
    <e v="#VALUE!"/>
    <m/>
    <e v="#VALUE!"/>
    <n v="4"/>
    <n v="0"/>
    <m/>
    <m/>
    <m/>
    <m/>
    <e v="#DIV/0!"/>
    <e v="#DIV/0!"/>
    <m/>
  </r>
  <r>
    <x v="0"/>
    <x v="0"/>
    <n v="6.94"/>
    <d v="2025-07-05T00:00:00"/>
    <x v="10"/>
    <n v="60"/>
    <n v="-33.706476190476195"/>
    <m/>
    <e v="#VALUE!"/>
    <e v="#VALUE!"/>
    <n v="7490.8320704845819"/>
    <n v="100.3"/>
    <n v="40.110116867203907"/>
    <n v="696.08199999999999"/>
    <n v="151.29682997118155"/>
    <n v="1050"/>
    <m/>
    <n v="0"/>
    <n v="13.6"/>
    <n v="2.949273299059111E-2"/>
    <n v="5.0999999999999997E-2"/>
    <n v="4.4659730316940816E-2"/>
    <n v="6526.529920325479"/>
    <n v="20588.235294117647"/>
    <n v="0"/>
    <n v="41539.192735744014"/>
    <n v="18881.451243520005"/>
    <n v="4326.666666666667"/>
    <n v="13648.666666666668"/>
    <n v="0"/>
    <n v="2169284.3800000004"/>
    <n v="312577"/>
    <n v="1735427.5040000004"/>
    <n v="7490.8320704845819"/>
    <n v="1513840.830449827"/>
    <n v="1003578.4313725492"/>
    <n v="0"/>
    <n v="4"/>
    <n v="433856.87600000011"/>
    <n v="1"/>
    <e v="#REF!"/>
    <n v="80"/>
    <m/>
    <n v="0"/>
    <n v="0.46263110573476263"/>
    <s v="Raleada"/>
  </r>
  <r>
    <x v="1"/>
    <x v="0"/>
    <n v="12.23"/>
    <d v="2025-07-01T00:00:00"/>
    <x v="10"/>
    <n v="64"/>
    <n v="-15.625"/>
    <m/>
    <n v="0"/>
    <n v="0"/>
    <n v="9412.5621145374462"/>
    <n v="110.38430089942763"/>
    <n v="56.570200534740081"/>
    <n v="1350"/>
    <n v="130.82583810302535"/>
    <n v="1600"/>
    <m/>
    <n v="0"/>
    <n v="21.9"/>
    <n v="2.5831141796684966E-2"/>
    <n v="3.7999999999999999E-2"/>
    <n v="3.5456415602826953E-2"/>
    <n v="7574.1274691225208"/>
    <n v="42105.26315789474"/>
    <n v="0"/>
    <n v="91981.996719360031"/>
    <n v="41809.99850880001"/>
    <n v="6390.670052072127"/>
    <n v="35526.315789473687"/>
    <n v="0"/>
    <n v="2983019.3000000003"/>
    <n v="243910"/>
    <n v="2386415.4400000004"/>
    <n v="9412.5621145374462"/>
    <n v="1922614.756068253"/>
    <n v="1622206.2004325886"/>
    <n v="0"/>
    <n v="4"/>
    <n v="596603.8600000001"/>
    <n v="4.2999999999999972"/>
    <m/>
    <n v="80"/>
    <m/>
    <n v="0"/>
    <n v="0.54381351150915735"/>
    <s v="Raleada, microsporidium 2%"/>
  </r>
  <r>
    <x v="0"/>
    <x v="0"/>
    <n v="6.94"/>
    <d v="2025-07-05T00:00:00"/>
    <x v="11"/>
    <n v="67"/>
    <n v="-33.75454545454545"/>
    <m/>
    <e v="#VALUE!"/>
    <e v="#VALUE!"/>
    <n v="7225.0727709251105"/>
    <n v="105"/>
    <n v="50.896549999171107"/>
    <n v="728.7"/>
    <n v="158.5014409221902"/>
    <n v="1100"/>
    <m/>
    <n v="0"/>
    <n v="15.9"/>
    <n v="3.2010408804510129E-2"/>
    <n v="4.7E-2"/>
    <n v="4.1641340746260018E-2"/>
    <n v="7419.2163835918818"/>
    <n v="23404.255319148935"/>
    <n v="0"/>
    <n v="33054.010851961451"/>
    <n v="15024.550387255204"/>
    <n v="4914.8936170212774"/>
    <n v="15504.255319148937"/>
    <n v="0"/>
    <n v="2169284.3800000004"/>
    <n v="312577"/>
    <n v="1431727.6908000002"/>
    <n v="7225.0727709251105"/>
    <n v="1471965.7433427004"/>
    <n v="975110.39743075077"/>
    <n v="0"/>
    <n v="4"/>
    <n v="357931.92270000005"/>
    <n v="2.3000000000000007"/>
    <e v="#REF!"/>
    <n v="66"/>
    <m/>
    <n v="0"/>
    <n v="0.44950786831865291"/>
    <s v="Sin Novedad, se programa 2do raleo"/>
  </r>
  <r>
    <x v="1"/>
    <x v="0"/>
    <n v="12.23"/>
    <d v="2025-07-01T00:00:00"/>
    <x v="11"/>
    <n v="71"/>
    <n v="-17.142857142857142"/>
    <m/>
    <n v="0"/>
    <n v="0"/>
    <n v="9747.8040528634356"/>
    <n v="118.56091578086672"/>
    <n v="67.511761955039603"/>
    <n v="1450"/>
    <n v="143.09076042518396"/>
    <n v="1750"/>
    <m/>
    <n v="0"/>
    <n v="25.2"/>
    <n v="2.6790381728190319E-2"/>
    <n v="3.4000000000000002E-2"/>
    <n v="3.2745023360176345E-2"/>
    <n v="9258.8139098648444"/>
    <n v="51470.588235294112"/>
    <n v="0"/>
    <n v="85732.261051852809"/>
    <n v="38969.209569024002"/>
    <n v="7671.5886681737284"/>
    <n v="42647.058823529405"/>
    <n v="0"/>
    <n v="2983019.3000000003"/>
    <n v="243910"/>
    <n v="2147773.8960000002"/>
    <n v="9747.8040528634356"/>
    <n v="2042483.6601307187"/>
    <n v="1692343.6041083098"/>
    <n v="0"/>
    <n v="4"/>
    <n v="536943.47400000005"/>
    <n v="3.3000000000000007"/>
    <m/>
    <n v="72"/>
    <m/>
    <n v="0"/>
    <n v="0.56732573071461845"/>
    <s v="13% Microsporidium"/>
  </r>
  <r>
    <x v="0"/>
    <x v="0"/>
    <n v="6.94"/>
    <d v="2025-07-05T00:00:00"/>
    <x v="12"/>
    <n v="74"/>
    <n v="-45.81016666666666"/>
    <m/>
    <e v="#VALUE!"/>
    <e v="#VALUE!"/>
    <n v="8315.6497929515426"/>
    <n v="93.7"/>
    <n v="45.419111761165077"/>
    <n v="650.27800000000002"/>
    <n v="172.91066282420749"/>
    <n v="1200"/>
    <m/>
    <n v="0"/>
    <n v="18.3"/>
    <n v="2.4819186754735011E-2"/>
    <n v="4.4999999999999998E-2"/>
    <n v="3.8925609867373749E-2"/>
    <n v="8453.4101825168109"/>
    <n v="26666.666666666668"/>
    <n v="0"/>
    <n v="38043.295508861294"/>
    <n v="17292.407049482405"/>
    <n v="4580.8888888888896"/>
    <n v="14450.622222222224"/>
    <n v="0"/>
    <n v="2169284.3800000004"/>
    <n v="312577"/>
    <n v="1431727.6908000002"/>
    <n v="8315.6497929515426"/>
    <n v="1457194.8998178507"/>
    <n v="789651.48755312699"/>
    <n v="0"/>
    <n v="4"/>
    <n v="357931.92270000005"/>
    <n v="2.4000000000000004"/>
    <n v="3"/>
    <n v="66"/>
    <m/>
    <n v="0"/>
    <n v="0.36401473906944687"/>
    <s v="Presencia de WSSV, 2do raleo 13-09, validar sobrevivencia"/>
  </r>
  <r>
    <x v="1"/>
    <x v="0"/>
    <n v="12.23"/>
    <d v="2025-07-01T00:00:00"/>
    <x v="12"/>
    <n v="78"/>
    <n v="-23.684210526315788"/>
    <m/>
    <n v="0"/>
    <n v="0"/>
    <n v="11604.528634361233"/>
    <n v="118.56091578086672"/>
    <n v="67.511761955039603"/>
    <n v="1450"/>
    <n v="155.3556827473426"/>
    <n v="1900"/>
    <m/>
    <n v="0"/>
    <n v="30"/>
    <n v="2.250392065167987E-2"/>
    <n v="3.1E-2"/>
    <n v="2.9376903375958989E-2"/>
    <n v="11025.242001424314"/>
    <n v="61290.322580645159"/>
    <n v="0"/>
    <n v="102062.21553792001"/>
    <n v="46391.916153600003"/>
    <n v="8414.0004747711864"/>
    <n v="46774.193548387098"/>
    <n v="0"/>
    <n v="2983019.3000000003"/>
    <n v="243910"/>
    <n v="2147773.8960000002"/>
    <n v="11604.528634361233"/>
    <n v="2043010.752688172"/>
    <n v="1559139.7849462365"/>
    <n v="0"/>
    <n v="4"/>
    <n v="536943.47400000005"/>
    <n v="4.8000000000000007"/>
    <n v="3"/>
    <n v="72"/>
    <m/>
    <n v="0"/>
    <n v="0.52267170545837116"/>
    <s v="Presencia de aves en las orillas, hoy se aplico cloro."/>
  </r>
  <r>
    <x v="0"/>
    <x v="0"/>
    <n v="6.94"/>
    <d v="2025-07-05T00:00:00"/>
    <x v="13"/>
    <n v="81"/>
    <n v="-38.872479999999996"/>
    <m/>
    <e v="#VALUE!"/>
    <e v="#VALUE!"/>
    <n v="10458.248083700442"/>
    <n v="110.1"/>
    <n v="50.319029962445818"/>
    <n v="764.09400000000005"/>
    <n v="180.11527377521614"/>
    <n v="1250"/>
    <m/>
    <n v="0"/>
    <n v="21.7"/>
    <n v="2.3188493070251531E-2"/>
    <n v="3.7999999999999999E-2"/>
    <n v="3.5633644164795801E-2"/>
    <n v="10427.726376459883"/>
    <n v="32894.736842105267"/>
    <n v="0"/>
    <n v="50745.201787588019"/>
    <n v="23066.000812540005"/>
    <n v="6374.2105263157891"/>
    <n v="20107.736842105263"/>
    <n v="0"/>
    <n v="2169284.3800000004"/>
    <n v="312577"/>
    <n v="1518499.0660000003"/>
    <n v="10458.248083700442"/>
    <n v="1515886.4904195976"/>
    <n v="926623.8176085375"/>
    <n v="0"/>
    <n v="4"/>
    <n v="379624.76650000009"/>
    <n v="3.3999999999999986"/>
    <n v="3"/>
    <n v="70"/>
    <m/>
    <n v="0"/>
    <n v="0.42715645129410712"/>
    <s v="Branquias sucias fuerte (epibiontes)"/>
  </r>
  <r>
    <x v="1"/>
    <x v="0"/>
    <n v="12.23"/>
    <d v="2025-07-01T00:00:00"/>
    <x v="13"/>
    <n v="85"/>
    <n v="-24.390243902439025"/>
    <m/>
    <n v="0"/>
    <n v="0"/>
    <n v="12881.02678414097"/>
    <n v="126.7375306623058"/>
    <n v="72.16774553814578"/>
    <n v="1550"/>
    <n v="167.62060506950121"/>
    <n v="2050"/>
    <m/>
    <n v="0"/>
    <n v="33.299999999999997"/>
    <n v="2.1671995657100838E-2"/>
    <n v="2.8999999999999998E-2"/>
    <n v="2.7360899793103795E-2"/>
    <n v="12716.045901824233"/>
    <n v="70689.655172413797"/>
    <n v="0"/>
    <n v="113289.05924709121"/>
    <n v="51495.026930496002"/>
    <n v="9614.5712916232005"/>
    <n v="53448.275862068971"/>
    <n v="0"/>
    <n v="2983019.3000000003"/>
    <n v="243910"/>
    <n v="2147773.8960000002"/>
    <n v="12881.02678414097"/>
    <n v="2122812.4676400539"/>
    <n v="1605053.3291912605"/>
    <n v="0"/>
    <n v="4"/>
    <n v="536943.47400000005"/>
    <n v="3.2999999999999972"/>
    <n v="3"/>
    <n v="72"/>
    <m/>
    <n v="0"/>
    <n v="0.53806334045215876"/>
    <m/>
  </r>
  <r>
    <x v="0"/>
    <x v="0"/>
    <n v="6.94"/>
    <d v="2025-07-05T00:00:00"/>
    <x v="14"/>
    <n v="88"/>
    <n v="-45.949647058823523"/>
    <m/>
    <e v="#VALUE!"/>
    <e v="#VALUE!"/>
    <n v="11566.725991189429"/>
    <n v="99.3"/>
    <n v="45.38310331762824"/>
    <n v="689.14200000000005"/>
    <n v="183.71757925072046"/>
    <n v="1275"/>
    <m/>
    <n v="0"/>
    <n v="24"/>
    <n v="1.8909626382345102E-2"/>
    <n v="3.5000000000000003E-2"/>
    <n v="3.3687540908377764E-2"/>
    <n v="11547.962124330999"/>
    <n v="36428.571428571428"/>
    <n v="0"/>
    <n v="56123.725479360015"/>
    <n v="25510.784308800005"/>
    <n v="6241.7142857142853"/>
    <n v="19689.771428571428"/>
    <n v="0"/>
    <n v="2169284.3800000004"/>
    <n v="312577"/>
    <n v="1518499.0660000003"/>
    <n v="11566.725991189429"/>
    <n v="1517857.1428571427"/>
    <n v="820407.14285714284"/>
    <n v="0"/>
    <n v="4"/>
    <n v="379624.76650000009"/>
    <n v="2.3000000000000007"/>
    <n v="3"/>
    <n v="70"/>
    <n v="15.21"/>
    <n v="0.48660010173493246"/>
    <n v="0.37819252764690203"/>
    <s v="Branquias sucias fuertes epibiontes"/>
  </r>
  <r>
    <x v="1"/>
    <x v="0"/>
    <n v="12.23"/>
    <d v="2025-07-01T00:00:00"/>
    <x v="14"/>
    <n v="92"/>
    <n v="-6.2893081760949099E-3"/>
    <m/>
    <n v="0"/>
    <n v="0"/>
    <n v="13882.454625550659"/>
    <n v="130"/>
    <n v="78.379923163558402"/>
    <n v="1589.9"/>
    <n v="130.00817661488142"/>
    <n v="1590"/>
    <m/>
    <n v="0"/>
    <n v="38"/>
    <n v="2.0626295569357474E-2"/>
    <n v="2.7999999999999997E-2"/>
    <n v="2.4810397496829045E-2"/>
    <n v="10214.928162597827"/>
    <n v="56785.71428571429"/>
    <n v="0"/>
    <n v="115313.50319315202"/>
    <n v="52415.228724160006"/>
    <n v="10214.285714285717"/>
    <n v="56782.14285714287"/>
    <n v="0"/>
    <n v="2983019.3000000003"/>
    <n v="243910"/>
    <n v="2028453.1240000001"/>
    <n v="13882.454625550659"/>
    <n v="1494360.9022556392"/>
    <n v="1494266.9172932336"/>
    <n v="0"/>
    <n v="4"/>
    <n v="507113.28100000002"/>
    <n v="4.7000000000000028"/>
    <n v="3"/>
    <n v="68"/>
    <n v="14.07"/>
    <n v="0.57685211758435484"/>
    <n v="0.50092432097011019"/>
    <s v="Se pesca mañana Jueves se programa 132000 lbs"/>
  </r>
  <r>
    <x v="0"/>
    <x v="0"/>
    <n v="6.94"/>
    <d v="2025-07-05T00:00:00"/>
    <x v="15"/>
    <n v="95"/>
    <n v="-37.68358620689655"/>
    <m/>
    <e v="#VALUE!"/>
    <e v="#VALUE!"/>
    <n v="13322.389757709254"/>
    <n v="130.19999999999999"/>
    <n v="55.538315359095499"/>
    <n v="903.58799999999997"/>
    <n v="208.9337175792507"/>
    <n v="1450"/>
    <m/>
    <n v="0"/>
    <n v="25.8"/>
    <n v="2.1526478821354847E-2"/>
    <n v="3.4000000000000002E-2"/>
    <n v="3.2290466440671003E-2"/>
    <n v="13519.240549245635"/>
    <n v="42647.058823529405"/>
    <n v="0"/>
    <n v="69259.827042450022"/>
    <n v="31481.739564750009"/>
    <n v="8424.7058823529405"/>
    <n v="26576.117647058822"/>
    <n v="0"/>
    <n v="2169284.3800000004"/>
    <n v="312577"/>
    <n v="1626963.2850000004"/>
    <n v="13322.389757709254"/>
    <n v="1652986.7761057909"/>
    <n v="1030082.0793433652"/>
    <n v="0"/>
    <n v="4"/>
    <n v="406740.8212500001"/>
    <n v="1.8000000000000007"/>
    <n v="3"/>
    <n v="75"/>
    <n v="24.24"/>
    <n v="0.77548891953022758"/>
    <n v="0.47484879752988635"/>
    <s v="7% Microsporidium, 7% wssv, branquias sucias, animal picado, validar población"/>
  </r>
  <r>
    <x v="0"/>
    <x v="0"/>
    <n v="6.94"/>
    <d v="2025-07-05T00:00:00"/>
    <x v="16"/>
    <n v="102"/>
    <n v="-47.626133333333328"/>
    <m/>
    <n v="0"/>
    <n v="0"/>
    <n v="14923.142015418503"/>
    <n v="113.2"/>
    <n v="48.286768806832654"/>
    <n v="785.60800000000006"/>
    <n v="216.13832853025934"/>
    <n v="1500"/>
    <m/>
    <n v="0"/>
    <n v="28.9"/>
    <n v="1.6708224500634139E-2"/>
    <n v="3.2000000000000001E-2"/>
    <n v="3.0098534158386796E-2"/>
    <n v="14859.510086455331"/>
    <n v="46875"/>
    <n v="0"/>
    <n v="77581.744245225025"/>
    <n v="35264.429202375009"/>
    <n v="7782.5000000000009"/>
    <n v="24550.25"/>
    <n v="0"/>
    <n v="2169284.3800000004"/>
    <n v="312577"/>
    <n v="1626963.2850000004"/>
    <n v="14923.142015418503"/>
    <n v="1621972.3183391003"/>
    <n v="849489.61937716266"/>
    <n v="0"/>
    <n v="4"/>
    <n v="406740.8212500001"/>
    <n v="3.0999999999999979"/>
    <n v="3"/>
    <n v="75"/>
    <n v="18.28"/>
    <n v="0.58481590136190431"/>
    <n v="0.39159901173361261"/>
    <s v="10% Microsporidium, 3 muertos rojos."/>
  </r>
  <r>
    <x v="0"/>
    <x v="0"/>
    <n v="6.94"/>
    <d v="2025-07-05T00:00:00"/>
    <x v="17"/>
    <n v="109"/>
    <n v="-39.992133333333335"/>
    <m/>
    <e v="#VALUE!"/>
    <e v="#VALUE!"/>
    <n v="16627.168612334808"/>
    <n v="129.69999999999999"/>
    <n v="55.325034578146592"/>
    <n v="900.11799999999994"/>
    <n v="216.13832853025934"/>
    <n v="1500"/>
    <m/>
    <n v="0"/>
    <n v="32.200000000000003"/>
    <n v="1.7181687757188382E-2"/>
    <n v="0.03"/>
    <n v="2.8009802192400454E-2"/>
    <n v="15850.144092219021"/>
    <n v="50000"/>
    <n v="0"/>
    <n v="86440.559332050048"/>
    <n v="39291.163332750017"/>
    <n v="9511.3333333333339"/>
    <n v="30003.933333333331"/>
    <n v="0"/>
    <n v="2169284.3800000004"/>
    <n v="312577"/>
    <n v="1626963.2850000004"/>
    <n v="16627.168612334808"/>
    <n v="1552795.0310559005"/>
    <n v="931799.17184264993"/>
    <n v="0"/>
    <n v="4"/>
    <n v="406740.8212500001"/>
    <n v="3.3000000000000043"/>
    <n v="3"/>
    <n v="75"/>
    <n v="21.53"/>
    <n v="0.68879028207449677"/>
    <n v="0.42954219392970955"/>
    <s v="15% Microsporidium, 3% animal enfermo wssv, animal picado."/>
  </r>
  <r>
    <x v="0"/>
    <x v="0"/>
    <n v="6.94"/>
    <d v="2025-07-05T00:00:00"/>
    <x v="18"/>
    <n v="116"/>
    <s v=""/>
    <m/>
    <n v="0"/>
    <n v="0"/>
    <n v="18176.283700440534"/>
    <n v="113.2"/>
    <n v="48.286768806832654"/>
    <n v="785.60800000000006"/>
    <n v="0"/>
    <m/>
    <m/>
    <n v="0"/>
    <n v="35.200000000000003"/>
    <n v="1.371783204739564E-2"/>
    <n v="2.7999999999999997E-2"/>
    <n v="2.6288981696258484E-2"/>
    <n v="0"/>
    <n v="0"/>
    <n v="0"/>
    <n v="94494.027592800034"/>
    <n v="42951.830724000014"/>
    <n v="8894.2857142857156"/>
    <n v="28057.428571428576"/>
    <n v="0"/>
    <n v="2169284.3800000004"/>
    <n v="312577"/>
    <n v="1626963.2850000004"/>
    <n v="18176.283700440534"/>
    <n v="0"/>
    <n v="797086.03896103904"/>
    <n v="0"/>
    <n v="4"/>
    <n v="406740.8212500001"/>
    <n v="3"/>
    <m/>
    <n v="75"/>
    <n v="20.99"/>
    <n v="0.67151453881763512"/>
    <n v="0.3674419298409547"/>
    <s v="8% Microsporidium, 2 muertos rojos"/>
  </r>
  <r>
    <x v="0"/>
    <x v="0"/>
    <n v="6.94"/>
    <d v="2025-07-05T00:00:00"/>
    <x v="19"/>
    <n v="120"/>
    <s v=""/>
    <m/>
    <e v="#VALUE!"/>
    <e v="#VALUE!"/>
    <n v="18641.018226872253"/>
    <n v="113"/>
    <n v="48.20145649445309"/>
    <n v="784.22"/>
    <n v="0"/>
    <m/>
    <m/>
    <n v="0"/>
    <n v="36.1"/>
    <n v="1.3352204015083958E-2"/>
    <n v="2.7999999999999997E-2"/>
    <n v="2.580126995828342E-2"/>
    <n v="0"/>
    <n v="0"/>
    <n v="0"/>
    <n v="96910.068071025045"/>
    <n v="44050.030941375015"/>
    <n v="8878.5714285714294"/>
    <n v="28007.857142857145"/>
    <n v="0"/>
    <n v="2169284.3800000004"/>
    <n v="312577"/>
    <n v="1626963.2850000004"/>
    <n v="18641.018226872253"/>
    <n v="0"/>
    <n v="775840.91808468546"/>
    <n v="0"/>
    <n v="4"/>
    <n v="406740.8212500001"/>
    <n v="0.89999999999999858"/>
    <m/>
    <n v="75"/>
    <n v="28.21"/>
    <n v="0.90249762458530203"/>
    <n v="0.35764832183260609"/>
    <s v="2% wssv"/>
  </r>
  <r>
    <x v="2"/>
    <x v="1"/>
    <n v="15.27"/>
    <d v="2025-10-18T00:00:00"/>
    <x v="20"/>
    <n v="0"/>
    <s v=""/>
    <m/>
    <n v="0"/>
    <n v="0"/>
    <n v="396.47577092511011"/>
    <m/>
    <n v="0"/>
    <n v="0"/>
    <n v="0"/>
    <m/>
    <m/>
    <n v="0"/>
    <n v="0.5"/>
    <n v="0"/>
    <n v="0.11"/>
    <n v="9.6343049645218129E-2"/>
    <n v="0"/>
    <n v="0"/>
    <n v="0"/>
    <n v="6046.92"/>
    <n v="2748.6"/>
    <n v="0"/>
    <n v="0"/>
    <n v="0"/>
    <n v="5497200"/>
    <n v="360000"/>
    <n v="5497200"/>
    <n v="396.47577092511011"/>
    <n v="0"/>
    <n v="0"/>
    <n v="0"/>
    <n v="4"/>
    <n v="1374300"/>
    <m/>
    <m/>
    <n v="100"/>
    <n v="0"/>
    <n v="1"/>
    <n v="0"/>
    <m/>
  </r>
  <r>
    <x v="2"/>
    <x v="1"/>
    <n v="15.27"/>
    <d v="2025-10-18T00:00:00"/>
    <x v="21"/>
    <n v="3"/>
    <n v="-28.457222222222217"/>
    <m/>
    <e v="#VALUE!"/>
    <e v="#VALUE!"/>
    <n v="713.65638766519817"/>
    <n v="25.3"/>
    <n v="7.0277777777777777"/>
    <n v="386.33100000000002"/>
    <n v="35.36345776031434"/>
    <n v="540"/>
    <m/>
    <n v="0"/>
    <n v="0.9"/>
    <n v="7.8086419753086431E-2"/>
    <n v="0.11"/>
    <n v="8.9760123154411578E-2"/>
    <n v="707.26915520628688"/>
    <n v="4909.090909090909"/>
    <n v="0"/>
    <n v="10884.456"/>
    <n v="4947.4799999999996"/>
    <n v="506.00000000000011"/>
    <n v="3512.1000000000004"/>
    <n v="0"/>
    <n v="5497200"/>
    <n v="360000"/>
    <n v="5497200"/>
    <n v="713.65638766519817"/>
    <n v="5454545.4545454541"/>
    <n v="3902333.333333334"/>
    <n v="0"/>
    <n v="4"/>
    <n v="1374300"/>
    <n v="0.44"/>
    <m/>
    <n v="100"/>
    <n v="25.555555555555561"/>
    <n v="1"/>
    <n v="0.7098765432098767"/>
    <m/>
  </r>
  <r>
    <x v="2"/>
    <x v="1"/>
    <n v="15.27"/>
    <d v="2025-10-18T00:00:00"/>
    <x v="22"/>
    <n v="10"/>
    <n v="-34.194943396226414"/>
    <m/>
    <n v="0"/>
    <n v="0"/>
    <n v="2184.5814977973569"/>
    <n v="57.1"/>
    <n v="16.69590643274854"/>
    <n v="871.91700000000003"/>
    <n v="86.77144728225278"/>
    <n v="1325"/>
    <m/>
    <n v="0"/>
    <n v="2.9"/>
    <n v="5.7572091147408758E-2"/>
    <n v="8.8000000000000009E-2"/>
    <n v="6.8609410726538075E-2"/>
    <n v="2169.2861820563194"/>
    <n v="15056.81818181818"/>
    <n v="0"/>
    <n v="31652.602740000002"/>
    <n v="14387.546699999999"/>
    <n v="1427.5"/>
    <n v="9908.1477272727261"/>
    <n v="0"/>
    <n v="5497200"/>
    <n v="360000"/>
    <n v="5222340"/>
    <n v="2184.5814977973569"/>
    <n v="5192006.2695924761"/>
    <n v="3416602.6645768024"/>
    <n v="0"/>
    <n v="4"/>
    <n v="1305585"/>
    <n v="2"/>
    <m/>
    <n v="95"/>
    <n v="22.37460815047022"/>
    <n v="0.95"/>
    <n v="0.62151689306861724"/>
    <m/>
  </r>
  <r>
    <x v="2"/>
    <x v="1"/>
    <n v="15.27"/>
    <d v="2025-10-18T00:00:00"/>
    <x v="23"/>
    <n v="17"/>
    <n v="-24.888108108108103"/>
    <m/>
    <e v="#VALUE!"/>
    <e v="#VALUE!"/>
    <n v="2925.9911894273127"/>
    <n v="81.900000000000006"/>
    <n v="25.277777777777779"/>
    <n v="1250.6130000000001"/>
    <n v="109.03732809430255"/>
    <n v="1665"/>
    <m/>
    <n v="0"/>
    <n v="4.0999999999999996"/>
    <n v="6.1653116531165321E-2"/>
    <n v="8.199999999999999E-2"/>
    <n v="6.1964848606110401E-2"/>
    <n v="2925.3917293593377"/>
    <n v="20304.878048780491"/>
    <n v="0"/>
    <n v="40163.642640000005"/>
    <n v="18256.2012"/>
    <n v="2197.3170731707323"/>
    <n v="15251.378048780491"/>
    <n v="0"/>
    <n v="5497200"/>
    <n v="360000"/>
    <n v="4947480"/>
    <n v="2925.9911894273127"/>
    <n v="4952409.2801903635"/>
    <n v="3719848.3045806075"/>
    <n v="0"/>
    <n v="4"/>
    <n v="1236870"/>
    <n v="1.1999999999999997"/>
    <m/>
    <n v="90"/>
    <n v="24.360499702558005"/>
    <n v="0.9"/>
    <n v="0.67668054729327798"/>
    <m/>
  </r>
  <r>
    <x v="2"/>
    <x v="1"/>
    <n v="15.27"/>
    <d v="2025-10-18T00:00:00"/>
    <x v="24"/>
    <n v="24"/>
    <n v="-34.803739130434785"/>
    <m/>
    <n v="0"/>
    <n v="0"/>
    <n v="4605.4625550660785"/>
    <n v="98.2"/>
    <n v="30.997474747474744"/>
    <n v="1499.5139999999999"/>
    <n v="150.62213490504257"/>
    <n v="2300"/>
    <m/>
    <n v="0"/>
    <n v="6.6"/>
    <n v="4.6965870829507192E-2"/>
    <n v="7.2000000000000008E-2"/>
    <n v="5.527206865859291E-2"/>
    <n v="4602.3430109874116"/>
    <n v="31944.444444444442"/>
    <n v="0"/>
    <n v="61812.099993600001"/>
    <n v="28096.409087999997"/>
    <n v="3000.5555555555552"/>
    <n v="20826.583333333328"/>
    <n v="0"/>
    <n v="5497200"/>
    <n v="360000"/>
    <n v="4837536"/>
    <n v="4605.4625550660785"/>
    <n v="4840067.3400673401"/>
    <n v="3155542.9292929289"/>
    <n v="0"/>
    <n v="4"/>
    <n v="1209384"/>
    <n v="2.5"/>
    <m/>
    <n v="88"/>
    <n v="20.664983164983163"/>
    <n v="0.88"/>
    <n v="0.57402731013842123"/>
    <m/>
  </r>
  <r>
    <x v="2"/>
    <x v="1"/>
    <n v="15.27"/>
    <d v="2025-10-18T00:00:00"/>
    <x v="25"/>
    <n v="31"/>
    <n v="-33.320999999999998"/>
    <m/>
    <e v="#VALUE!"/>
    <e v="#VALUE!"/>
    <n v="6740.0881057268725"/>
    <n v="117.9"/>
    <n v="38.529411764705884"/>
    <n v="1800.3330000000001"/>
    <n v="176.81728880157172"/>
    <n v="2700"/>
    <m/>
    <n v="0"/>
    <n v="10"/>
    <n v="3.8529411764705881E-2"/>
    <n v="5.7999999999999996E-2"/>
    <n v="5.0599651410657261E-2"/>
    <n v="6706.862678680307"/>
    <n v="46551.724137931036"/>
    <n v="0"/>
    <n v="87377.994000000006"/>
    <n v="39717.269999999997"/>
    <n v="4472.0689655172428"/>
    <n v="31040.22413793104"/>
    <n v="0"/>
    <n v="5497200"/>
    <n v="360000"/>
    <n v="4672620"/>
    <n v="6740.0881057268725"/>
    <n v="4655172.4137931038"/>
    <n v="3104022.4137931042"/>
    <n v="0"/>
    <n v="4"/>
    <n v="1168155"/>
    <n v="3.4000000000000004"/>
    <m/>
    <n v="85"/>
    <n v="20.327586206896555"/>
    <n v="0.85"/>
    <n v="0.56465517241379326"/>
    <m/>
  </r>
  <r>
    <x v="2"/>
    <x v="1"/>
    <n v="15.27"/>
    <d v="2025-10-18T00:00:00"/>
    <x v="26"/>
    <n v="38"/>
    <n v="-26.85297560975609"/>
    <m/>
    <n v="0"/>
    <n v="0"/>
    <n v="8555.9471365638765"/>
    <n v="147.30000000000001"/>
    <n v="49.297188755020088"/>
    <n v="2249.2710000000002"/>
    <n v="201.37524557956777"/>
    <n v="3075"/>
    <m/>
    <n v="0"/>
    <n v="13"/>
    <n v="3.7920914426938526E-2"/>
    <n v="5.2000000000000005E-2"/>
    <n v="4.553135685803314E-2"/>
    <n v="8519.7219283663289"/>
    <n v="59134.615384615383"/>
    <n v="0"/>
    <n v="108308.80288799999"/>
    <n v="49231.274039999989"/>
    <n v="6231.9230769230771"/>
    <n v="43255.211538461539"/>
    <n v="0"/>
    <n v="5497200"/>
    <n v="360000"/>
    <n v="4562676"/>
    <n v="8555.9471365638765"/>
    <n v="4548816.5680473372"/>
    <n v="3327323.9644970414"/>
    <n v="0"/>
    <n v="4"/>
    <n v="1140669"/>
    <n v="3"/>
    <m/>
    <n v="83"/>
    <n v="21.789940828402365"/>
    <n v="0.83"/>
    <n v="0.60527613412228798"/>
    <m/>
  </r>
  <r>
    <x v="2"/>
    <x v="1"/>
    <n v="15.27"/>
    <d v="2025-10-18T00:00:00"/>
    <x v="27"/>
    <n v="45"/>
    <n v="-35.026267281105994"/>
    <m/>
    <e v="#VALUE!"/>
    <e v="#VALUE!"/>
    <n v="10213.215859030837"/>
    <n v="138.5"/>
    <n v="48.090277777777771"/>
    <n v="2114.895"/>
    <n v="213.1630648330059"/>
    <n v="3255"/>
    <m/>
    <n v="0"/>
    <n v="16.100000000000001"/>
    <n v="2.9869737750172532E-2"/>
    <n v="4.5999999999999999E-2"/>
    <n v="4.1399865380041777E-2"/>
    <n v="10194.755274622023"/>
    <n v="70760.869565217392"/>
    <n v="0"/>
    <n v="124614.92736000002"/>
    <n v="56643.148800000003"/>
    <n v="6623.9130434782619"/>
    <n v="45975.978260869568"/>
    <n v="0"/>
    <n v="5497200"/>
    <n v="360000"/>
    <n v="4397760"/>
    <n v="10213.215859030837"/>
    <n v="4395085.0661625704"/>
    <n v="2855650.8236564947"/>
    <n v="0"/>
    <n v="4"/>
    <n v="1099440"/>
    <n v="3.1000000000000014"/>
    <m/>
    <n v="80"/>
    <n v="18.701053200108021"/>
    <n v="0.8"/>
    <n v="0.51947370000300053"/>
    <m/>
  </r>
  <r>
    <x v="3"/>
    <x v="1"/>
    <n v="8.5"/>
    <d v="2025-10-14T00:00:00"/>
    <x v="28"/>
    <n v="59"/>
    <n v="-20"/>
    <m/>
    <n v="0"/>
    <n v="0"/>
    <n v="3237.7004405286343"/>
    <n v="47.058823529411768"/>
    <n v="67.230732512446096"/>
    <n v="400"/>
    <n v="58.823529411764703"/>
    <n v="500"/>
    <m/>
    <n v="0"/>
    <n v="21"/>
    <n v="3.2014634529736234E-2"/>
    <n v="0.04"/>
    <n v="3.6267070674814522E-2"/>
    <n v="3235.294117647059"/>
    <n v="12500"/>
    <n v="0"/>
    <n v="16033.41745236"/>
    <n v="7287.9170237999988"/>
    <n v="2588.2352941176473"/>
    <n v="10000"/>
    <n v="0"/>
    <n v="1020000"/>
    <n v="120000"/>
    <n v="594966"/>
    <n v="3237.7004405286343"/>
    <n v="595238.09523809527"/>
    <n v="476190.47619047621"/>
    <n v="0"/>
    <n v="4"/>
    <n v="148741.5"/>
    <m/>
    <m/>
    <n v="58.33"/>
    <n v="5.6022408963585439"/>
    <n v="0.8"/>
    <n v="0.46685340802987862"/>
    <m/>
  </r>
  <r>
    <x v="4"/>
    <x v="1"/>
    <n v="11"/>
    <d v="2025-12-03T00:00:00"/>
    <x v="28"/>
    <n v="9"/>
    <n v="-12.5"/>
    <m/>
    <e v="#VALUE!"/>
    <e v="#VALUE!"/>
    <n v="1938.3259911894274"/>
    <n v="63.636363636363633"/>
    <n v="28.925619834710744"/>
    <n v="700"/>
    <n v="72.727272727272734"/>
    <n v="800"/>
    <m/>
    <n v="0"/>
    <n v="4"/>
    <n v="7.2314049586776855E-2"/>
    <n v="8.199999999999999E-2"/>
    <n v="6.2404592693619421E-2"/>
    <n v="1951.2195121951224"/>
    <n v="9756.0975609756115"/>
    <n v="0"/>
    <n v="21296"/>
    <n v="9680"/>
    <n v="1707.3170731707321"/>
    <n v="8536.5853658536598"/>
    <n v="0"/>
    <n v="2420000"/>
    <n v="220000"/>
    <n v="2420000"/>
    <n v="1938.3259911894274"/>
    <n v="2439024.3902439028"/>
    <n v="2134146.341463415"/>
    <n v="0"/>
    <n v="4"/>
    <n v="605000"/>
    <m/>
    <m/>
    <n v="100"/>
    <n v="19.401330376940138"/>
    <n v="0.8"/>
    <n v="0.8818786534972789"/>
    <m/>
  </r>
  <r>
    <x v="5"/>
    <x v="1"/>
    <n v="8.1999999999999993"/>
    <d v="2025-12-02T00:00:00"/>
    <x v="28"/>
    <n v="10"/>
    <n v="-5"/>
    <m/>
    <n v="0"/>
    <n v="0"/>
    <n v="1541.8502202643169"/>
    <n v="57.926829268292686"/>
    <n v="23.170731707317078"/>
    <n v="475"/>
    <n v="60.975609756097569"/>
    <n v="500"/>
    <m/>
    <n v="0"/>
    <n v="2.8"/>
    <n v="8.2752613240418132E-2"/>
    <n v="8.8000000000000009E-2"/>
    <n v="6.9320000897578796E-2"/>
    <n v="1524.3902439024391"/>
    <n v="5681.8181818181811"/>
    <n v="0"/>
    <n v="12627.999999999998"/>
    <n v="5739.9999999999991"/>
    <n v="1448.1707317073171"/>
    <n v="5397.7272727272721"/>
    <n v="0"/>
    <n v="2049999.9999999998"/>
    <n v="250000"/>
    <n v="2049999.9999999998"/>
    <n v="1541.8502202643169"/>
    <n v="2029220.779220779"/>
    <n v="1927759.7402597403"/>
    <n v="0"/>
    <n v="4"/>
    <n v="512499.99999999994"/>
    <m/>
    <m/>
    <n v="100"/>
    <n v="23.509265125118787"/>
    <n v="0.8"/>
    <n v="0.94037060500475145"/>
    <m/>
  </r>
  <r>
    <x v="6"/>
    <x v="1"/>
    <n v="4.7"/>
    <d v="2025-11-05T00:00:00"/>
    <x v="28"/>
    <n v="37"/>
    <n v="-9.0909090909090917"/>
    <m/>
    <e v="#VALUE!"/>
    <e v="#VALUE!"/>
    <n v="4856.3876651982373"/>
    <n v="106.38297872340425"/>
    <n v="62.725812926535532"/>
    <n v="500"/>
    <n v="117.02127659574468"/>
    <n v="550"/>
    <m/>
    <n v="0"/>
    <n v="13"/>
    <n v="4.8250625328104257E-2"/>
    <n v="5.2000000000000005E-2"/>
    <n v="4.553135685803314E-2"/>
    <n v="4950.9001636661214"/>
    <n v="10576.923076923076"/>
    <n v="0"/>
    <n v="12082.744960000002"/>
    <n v="5492.1568000000007"/>
    <n v="4500.8183306055644"/>
    <n v="9615.3846153846152"/>
    <n v="0"/>
    <n v="1504000"/>
    <n v="320000"/>
    <n v="797120"/>
    <n v="4856.3876651982373"/>
    <n v="813609.46745562123"/>
    <n v="739644.97041420126"/>
    <n v="0"/>
    <n v="4"/>
    <n v="199280"/>
    <m/>
    <m/>
    <n v="53"/>
    <n v="15.737127030089386"/>
    <n v="0.8"/>
    <n v="0.49178521969029337"/>
    <m/>
  </r>
  <r>
    <x v="7"/>
    <x v="1"/>
    <n v="9.3000000000000007"/>
    <d v="2025-11-05T00:00:00"/>
    <x v="28"/>
    <n v="37"/>
    <n v="-16.279069767441861"/>
    <m/>
    <n v="0"/>
    <n v="0"/>
    <n v="4678.5180616740081"/>
    <n v="96.774193548387089"/>
    <n v="53.76224614363408"/>
    <n v="900"/>
    <n v="115.59139784946235"/>
    <n v="1075"/>
    <m/>
    <n v="0"/>
    <n v="11.8"/>
    <n v="4.556122554545261E-2"/>
    <n v="5.5E-2"/>
    <n v="4.7402280272407345E-2"/>
    <n v="4623.6559139784949"/>
    <n v="19545.454545454544"/>
    <n v="0"/>
    <n v="35557.340273558402"/>
    <n v="16162.427397071999"/>
    <n v="3870.9677419354839"/>
    <n v="16363.636363636364"/>
    <n v="0"/>
    <n v="2046000.0000000002"/>
    <n v="220000"/>
    <n v="1674037.2"/>
    <n v="4678.5180616740081"/>
    <n v="1656394.4530046221"/>
    <n v="1386748.8443759629"/>
    <n v="0"/>
    <n v="4"/>
    <n v="418509.3"/>
    <m/>
    <m/>
    <n v="81.819999999999993"/>
    <n v="14.911277896515728"/>
    <n v="0.8"/>
    <n v="0.67778535893253311"/>
    <m/>
  </r>
  <r>
    <x v="8"/>
    <x v="1"/>
    <n v="9.3000000000000007"/>
    <d v="2025-10-30T00:00:00"/>
    <x v="28"/>
    <n v="43"/>
    <n v="-16"/>
    <m/>
    <e v="#VALUE!"/>
    <e v="#VALUE!"/>
    <n v="7048.7224669603538"/>
    <n v="112.9032258064516"/>
    <n v="70.561870058905043"/>
    <n v="1050"/>
    <n v="134.40860215053763"/>
    <n v="1250"/>
    <m/>
    <n v="0"/>
    <n v="20"/>
    <n v="3.5280935029452516E-2"/>
    <n v="4.2000000000000003E-2"/>
    <n v="3.7209588223015948E-2"/>
    <n v="7040.4505888376843"/>
    <n v="29761.90476190476"/>
    <n v="0"/>
    <n v="47619.571266960018"/>
    <n v="21645.259666800008"/>
    <n v="5913.9784946236559"/>
    <n v="25000"/>
    <n v="0"/>
    <n v="2046000.0000000002"/>
    <n v="220000"/>
    <n v="1488055.8000000003"/>
    <n v="7048.7224669603538"/>
    <n v="1488095.2380952381"/>
    <n v="1250000"/>
    <n v="0"/>
    <n v="4"/>
    <n v="372013.95000000007"/>
    <m/>
    <m/>
    <n v="72.73"/>
    <n v="13.440860215053762"/>
    <n v="0.8"/>
    <n v="0.61094819159335279"/>
    <s v="Estimo 55800, proyectado 68000, Mar 63000lbs"/>
  </r>
  <r>
    <x v="9"/>
    <x v="1"/>
    <n v="2"/>
    <d v="2025-11-05T00:00:00"/>
    <x v="28"/>
    <n v="37"/>
    <n v="0"/>
    <m/>
    <n v="0"/>
    <n v="0"/>
    <n v="6958.1497797356824"/>
    <n v="200"/>
    <n v="56.980056980056986"/>
    <n v="400"/>
    <n v="200"/>
    <n v="400"/>
    <m/>
    <n v="0"/>
    <n v="9"/>
    <n v="6.3311174422285538E-2"/>
    <n v="6.2E-2"/>
    <n v="5.2634982436603445E-2"/>
    <n v="7096.7741935483882"/>
    <n v="6451.6129032258068"/>
    <n v="0"/>
    <n v="16262.532000000003"/>
    <n v="7392.06"/>
    <n v="7096.7741935483882"/>
    <n v="6451.6129032258068"/>
    <n v="0"/>
    <n v="600000"/>
    <n v="300000"/>
    <n v="702000"/>
    <n v="6958.1497797356824"/>
    <n v="716845.87813620071"/>
    <n v="716845.87813620071"/>
    <n v="0"/>
    <n v="4"/>
    <n v="175500"/>
    <m/>
    <m/>
    <n v="117"/>
    <n v="35.842293906810035"/>
    <n v="0.8"/>
    <n v="1.1947431302270013"/>
    <s v="Se raleo 18,16 xm"/>
  </r>
  <r>
    <x v="10"/>
    <x v="1"/>
    <n v="6"/>
    <d v="2025-11-13T00:00:00"/>
    <x v="28"/>
    <n v="29"/>
    <n v="-7.6923076923076925"/>
    <m/>
    <e v="#VALUE!"/>
    <e v="#VALUE!"/>
    <n v="4361.2334801762117"/>
    <n v="100"/>
    <n v="55.55555555555555"/>
    <n v="600"/>
    <n v="108.33333333333333"/>
    <n v="650"/>
    <m/>
    <n v="0"/>
    <n v="11"/>
    <n v="5.0505050505050504E-2"/>
    <n v="5.5999999999999994E-2"/>
    <n v="4.8758470539122307E-2"/>
    <n v="4255.9523809523816"/>
    <n v="11607.142857142859"/>
    <n v="0"/>
    <n v="19602"/>
    <n v="8910"/>
    <n v="3928.5714285714294"/>
    <n v="10714.285714285716"/>
    <n v="0"/>
    <n v="1440000"/>
    <n v="240000"/>
    <n v="1080000"/>
    <n v="4361.2334801762117"/>
    <n v="1055194.8051948054"/>
    <n v="974025.97402597417"/>
    <n v="0"/>
    <n v="4"/>
    <n v="270000"/>
    <m/>
    <m/>
    <n v="75"/>
    <n v="16.233766233766236"/>
    <n v="0.8"/>
    <n v="0.67640692640692646"/>
    <m/>
  </r>
  <r>
    <x v="11"/>
    <x v="1"/>
    <n v="6.5"/>
    <d v="2025-11-13T00:00:00"/>
    <x v="28"/>
    <n v="29"/>
    <n v="-9.375"/>
    <m/>
    <n v="0"/>
    <n v="0"/>
    <n v="4845.3303964757706"/>
    <n v="111.53846153846153"/>
    <n v="55.774808250055777"/>
    <n v="725"/>
    <n v="123.07692307692308"/>
    <n v="800"/>
    <m/>
    <n v="0"/>
    <n v="11"/>
    <n v="5.0704371136414343E-2"/>
    <n v="5.5999999999999994E-2"/>
    <n v="4.8758470539122307E-2"/>
    <n v="4835.1648351648355"/>
    <n v="14285.714285714288"/>
    <n v="0"/>
    <n v="20969.138876400004"/>
    <n v="9531.426762000001"/>
    <n v="4381.8681318681329"/>
    <n v="12946.428571428572"/>
    <n v="0"/>
    <n v="1950000"/>
    <n v="300000"/>
    <n v="1299870"/>
    <n v="4845.3303964757706"/>
    <n v="1298701.2987012989"/>
    <n v="1176948.0519480521"/>
    <n v="0"/>
    <n v="4"/>
    <n v="324967.5"/>
    <m/>
    <m/>
    <n v="66.66"/>
    <n v="18.106893106893111"/>
    <n v="0.8"/>
    <n v="0.60356310356310361"/>
    <m/>
  </r>
  <r>
    <x v="12"/>
    <x v="2"/>
    <n v="5.3"/>
    <d v="2025-12-21T00:00:00"/>
    <x v="29"/>
    <n v="4"/>
    <n v="50"/>
    <n v="750"/>
    <n v="750"/>
    <n v="0.67774500403577487"/>
    <n v="460.30837004405294"/>
    <n v="35.377358490566039"/>
    <n v="21.837875611460515"/>
    <n v="187.5"/>
    <n v="23.584905660377359"/>
    <n v="125"/>
    <n v="95"/>
    <n v="17.924528301886792"/>
    <n v="1.29"/>
    <n v="0.16928585745318231"/>
    <n v="0.1"/>
    <n v="8.5449871391559601E-2"/>
    <n v="518.86792452830196"/>
    <n v="1250"/>
    <n v="1111.7629371807775"/>
    <n v="2193.0361200000002"/>
    <n v="996.83460000000002"/>
    <n v="778.30188679245293"/>
    <n v="1875"/>
    <n v="1111.7629371807775"/>
    <n v="954000"/>
    <n v="180000"/>
    <n v="858600"/>
    <n v="460.30837004405294"/>
    <n v="968992.24806201551"/>
    <n v="1453488.3720930233"/>
    <n v="861831.7342486647"/>
    <n v="3"/>
    <n v="286200"/>
    <m/>
    <m/>
    <n v="90"/>
    <n v="27.424308907415533"/>
    <n v="1.8"/>
    <n v="1.5235727170786408"/>
    <s v="Días alimentados al corte de media semana (4días)"/>
  </r>
  <r>
    <x v="13"/>
    <x v="3"/>
    <n v="9.4"/>
    <d v="2025-12-21T00:00:00"/>
    <x v="29"/>
    <n v="4"/>
    <n v="62.162162162162161"/>
    <n v="1200"/>
    <n v="1200"/>
    <n v="0.64823517563400235"/>
    <n v="434.16079295154179"/>
    <n v="31.914893617021274"/>
    <n v="19.591708788840563"/>
    <n v="300"/>
    <n v="19.680851063829788"/>
    <n v="185"/>
    <n v="159"/>
    <n v="16.914893617021274"/>
    <n v="1.21"/>
    <n v="0.16191494866810383"/>
    <n v="0.1"/>
    <n v="8.5449871391559601E-2"/>
    <n v="432.97872340425533"/>
    <n v="1850"/>
    <n v="1860.7400738078277"/>
    <n v="3668.5927079999997"/>
    <n v="1667.5421399999998"/>
    <n v="702.12765957446811"/>
    <n v="3000"/>
    <n v="1860.7400738078277"/>
    <n v="1701400"/>
    <n v="181000"/>
    <n v="1531260"/>
    <n v="434.16079295154179"/>
    <n v="1528925.6198347108"/>
    <n v="2479338.8429752067"/>
    <n v="1537801.7138907667"/>
    <n v="4"/>
    <n v="382815"/>
    <m/>
    <m/>
    <n v="90"/>
    <n v="26.375945138034115"/>
    <n v="2.8"/>
    <n v="1.4572345380129343"/>
    <m/>
  </r>
  <r>
    <x v="12"/>
    <x v="2"/>
    <n v="5.3"/>
    <d v="2025-12-21T00:00:00"/>
    <x v="30"/>
    <n v="11"/>
    <n v="-24.528301886792452"/>
    <n v="1400"/>
    <n v="2150"/>
    <n v="0.68665781504775214"/>
    <n v="1302.422907488987"/>
    <n v="37.735849056603776"/>
    <n v="23.293733985557886"/>
    <n v="200"/>
    <n v="50"/>
    <n v="265"/>
    <n v="202"/>
    <n v="38.113207547169814"/>
    <n v="3.65"/>
    <n v="6.3818449275501052E-2"/>
    <n v="8.4000000000000005E-2"/>
    <n v="6.4352367133381883E-2"/>
    <n v="1309.5238095238094"/>
    <n v="3154.7619047619046"/>
    <n v="3138.9676712484961"/>
    <n v="6205.1022000000012"/>
    <n v="2820.5010000000002"/>
    <n v="988.3198562443846"/>
    <n v="2380.9523809523807"/>
    <n v="3138.9676712484961"/>
    <n v="954000"/>
    <n v="180000"/>
    <n v="858600"/>
    <n v="1302.422907488987"/>
    <n v="864318.33007175464"/>
    <n v="652315.72080887144"/>
    <n v="859991.14280780719"/>
    <n v="3"/>
    <n v="286200"/>
    <n v="2.36"/>
    <m/>
    <n v="90"/>
    <n v="16.2"/>
    <n v="0.9"/>
    <n v="0.68376909938036834"/>
    <s v="26 Dic inicia consumo Max AP, 2 enero inicia timer"/>
  </r>
  <r>
    <x v="13"/>
    <x v="3"/>
    <n v="9.4"/>
    <d v="2025-12-21T00:00:00"/>
    <x v="30"/>
    <n v="11"/>
    <n v="-27.835051546391753"/>
    <n v="2450"/>
    <n v="3650"/>
    <n v="0.63115755140819463"/>
    <n v="1356.3039647577093"/>
    <n v="37.234042553191486"/>
    <n v="22.856993586980657"/>
    <n v="350"/>
    <n v="51.595744680851062"/>
    <n v="485"/>
    <n v="370"/>
    <n v="39.361702127659576"/>
    <n v="3.78"/>
    <n v="6.0468237002594329E-2"/>
    <n v="8.4000000000000005E-2"/>
    <n v="6.3835644240099798E-2"/>
    <n v="1351.3171225937183"/>
    <n v="5773.8095238095239"/>
    <n v="5796.1348147180779"/>
    <n v="11460.562344"/>
    <n v="5209.3465199999991"/>
    <n v="975.17730496453885"/>
    <n v="4166.6666666666661"/>
    <n v="5796.1348147180779"/>
    <n v="1701400"/>
    <n v="181000"/>
    <n v="1531260"/>
    <n v="1356.3039647577093"/>
    <n v="1527462.8369866468"/>
    <n v="1102292.7689594356"/>
    <n v="1533368.9986026662"/>
    <n v="4"/>
    <n v="382815"/>
    <n v="2.57"/>
    <m/>
    <n v="90"/>
    <n v="16.29"/>
    <n v="0.9"/>
    <n v="0.64787396788493923"/>
    <s v="2 enero inicia timer"/>
  </r>
  <r>
    <x v="12"/>
    <x v="2"/>
    <n v="5.3"/>
    <d v="2025-12-21T00:00:00"/>
    <x v="31"/>
    <n v="18"/>
    <n v="-32.584269662921351"/>
    <n v="2100"/>
    <n v="4250"/>
    <n v="0.66574360689670375"/>
    <n v="2655.4361233480181"/>
    <n v="56.60377358490566"/>
    <n v="34.181022696199072"/>
    <n v="300"/>
    <n v="83.962264150943398"/>
    <n v="445"/>
    <n v="348"/>
    <n v="65.660377358490564"/>
    <n v="7.28"/>
    <n v="4.6951954253020699E-2"/>
    <n v="7.0000000000000007E-2"/>
    <n v="5.4494159869691597E-2"/>
    <n v="2638.8140161725069"/>
    <n v="6357.1428571428569"/>
    <n v="6386.005414748116"/>
    <n v="12932.369049600002"/>
    <n v="5878.3495680000005"/>
    <n v="1778.9757412398922"/>
    <n v="4285.7142857142853"/>
    <n v="6386.005414748116"/>
    <n v="954000"/>
    <n v="180000"/>
    <n v="877680"/>
    <n v="2655.4361233480181"/>
    <n v="873233.9089481947"/>
    <n v="588697.01726844581"/>
    <n v="877198.54598188412"/>
    <n v="3"/>
    <n v="292560"/>
    <n v="3.6300000000000003"/>
    <m/>
    <n v="92"/>
    <n v="16.559999999999999"/>
    <n v="0.92"/>
    <n v="0.61708282732541486"/>
    <s v="Inicia sónico 04-enero, se mantiene aún con 3 tolvas (08-01-2026) se cambia tiempo min entre giro a 360s"/>
  </r>
  <r>
    <x v="13"/>
    <x v="3"/>
    <n v="9.4"/>
    <d v="2025-12-21T00:00:00"/>
    <x v="31"/>
    <n v="18"/>
    <n v="-34.210526315789473"/>
    <n v="3500"/>
    <n v="7150"/>
    <n v="0.6573041469109997"/>
    <n v="2551.1830396475771"/>
    <n v="53.191489361702125"/>
    <n v="33.019733913776228"/>
    <n v="500"/>
    <n v="80.851063829787236"/>
    <n v="760"/>
    <n v="595"/>
    <n v="63.297872340425528"/>
    <n v="7.19"/>
    <n v="4.5924525610259004E-2"/>
    <n v="7.0000000000000007E-2"/>
    <n v="5.4609059122572495E-2"/>
    <n v="2541.0334346504555"/>
    <n v="10857.142857142857"/>
    <n v="10895.628116655438"/>
    <n v="21317.58547292"/>
    <n v="9689.8115785999998"/>
    <n v="1671.7325227963524"/>
    <n v="7142.8571428571422"/>
    <n v="10895.628116655438"/>
    <n v="1701400"/>
    <n v="181000"/>
    <n v="1514246"/>
    <n v="2551.1830396475771"/>
    <n v="1510033.7770713291"/>
    <n v="993443.27438903216"/>
    <n v="1515386.3861829536"/>
    <n v="4"/>
    <n v="378561.5"/>
    <n v="3.4100000000000006"/>
    <m/>
    <n v="89"/>
    <n v="16.109000000000002"/>
    <n v="0.89000000000000012"/>
    <n v="0.58389753990186444"/>
    <s v="Inicia sónico 05-enero, se incrementa 1 tolva total 4 activas(08-01-2026)"/>
  </r>
  <r>
    <x v="12"/>
    <x v="2"/>
    <n v="5.3"/>
    <d v="2025-12-21T00:00:00"/>
    <x v="32"/>
    <n v="25"/>
    <n v="-36.428571428571431"/>
    <n v="2225"/>
    <n v="6475"/>
    <n v="0.74539605632810113"/>
    <n v="3613.3215859030838"/>
    <n v="59.973045822102421"/>
    <n v="37.436358191075165"/>
    <n v="317.85714285714283"/>
    <n v="94.339622641509436"/>
    <n v="500"/>
    <n v="435"/>
    <n v="82.075471698113205"/>
    <n v="10.24"/>
    <n v="3.6558943545971841E-2"/>
    <n v="5.7999999999999996E-2"/>
    <n v="5.021710865752517E-2"/>
    <n v="3578.3994795055314"/>
    <n v="8620.6896551724149"/>
    <n v="8662.3864182752804"/>
    <n v="17023.585075200001"/>
    <n v="7737.9932159999998"/>
    <n v="2274.8396691142302"/>
    <n v="5480.2955665024629"/>
    <n v="8662.3864182752804"/>
    <n v="954000"/>
    <n v="180000"/>
    <n v="849060"/>
    <n v="3613.3215859030838"/>
    <n v="841864.22413793113"/>
    <n v="535185.11391625612"/>
    <n v="845936.17365969531"/>
    <n v="3"/>
    <n v="283020"/>
    <n v="2.96"/>
    <m/>
    <n v="89"/>
    <n v="16.02"/>
    <n v="0.89"/>
    <n v="0.5609906854468093"/>
    <m/>
  </r>
  <r>
    <x v="13"/>
    <x v="4"/>
    <n v="9.4"/>
    <d v="2025-12-21T00:00:00"/>
    <x v="32"/>
    <n v="25"/>
    <n v="-29.591836734693882"/>
    <n v="3450"/>
    <n v="10600"/>
    <n v="0.83998306374417875"/>
    <n v="2959.6290748898678"/>
    <n v="52.431610942249236"/>
    <n v="43.235434107569255"/>
    <n v="492.85714285714283"/>
    <n v="74.468085106382972"/>
    <n v="700"/>
    <n v="615"/>
    <n v="65.425531914893611"/>
    <n v="11.08"/>
    <n v="3.9021149916578755E-2"/>
    <n v="5.5999999999999994E-2"/>
    <n v="4.8758470539122307E-2"/>
    <n v="2925.5319148936178"/>
    <n v="12500.000000000002"/>
    <n v="12613.193014463872"/>
    <n v="18617.376220960003"/>
    <n v="8462.4437367999999"/>
    <n v="2059.8132870169347"/>
    <n v="8801.0204081632655"/>
    <n v="12613.193014463872"/>
    <n v="1701400"/>
    <n v="181000"/>
    <n v="1139938"/>
    <n v="2959.6290748898678"/>
    <n v="1128158.844765343"/>
    <n v="794315.92131437419"/>
    <n v="1138374.8207999885"/>
    <n v="4"/>
    <n v="284984.5"/>
    <n v="3.8899999999999997"/>
    <m/>
    <n v="67"/>
    <n v="12.127000000000001"/>
    <n v="0.67"/>
    <n v="0.4668601865019244"/>
    <s v="Se realiza cambio en el tiempo min entre giro a 360s, validar población consumo da para menor sobrevivencia. Se Cambia a RD 14-Ene"/>
  </r>
  <r>
    <x v="12"/>
    <x v="2"/>
    <n v="5.3"/>
    <d v="2025-12-21T00:00:00"/>
    <x v="33"/>
    <n v="32"/>
    <n v="-25.997425997425992"/>
    <n v="2875"/>
    <n v="9350"/>
    <n v="0.91165933768394336"/>
    <n v="4266.1189427312775"/>
    <n v="77.493261455525612"/>
    <n v="48.372822381726344"/>
    <n v="410.71428571428572"/>
    <n v="104.71698113207547"/>
    <n v="555"/>
    <n v="485"/>
    <n v="91.509433962264154"/>
    <n v="12.09"/>
    <n v="4.0010605774794337E-2"/>
    <n v="5.4000000000000006E-2"/>
    <n v="4.7077604096019084E-2"/>
    <n v="4266.2473794549269"/>
    <n v="10277.777777777777"/>
    <n v="10302.138550016227"/>
    <n v="20099.135113200005"/>
    <n v="9135.9705060000015"/>
    <n v="3157.132874114006"/>
    <n v="7605.8201058201048"/>
    <n v="10302.138550016227"/>
    <n v="954000"/>
    <n v="180000"/>
    <n v="849060"/>
    <n v="4266.1189427312775"/>
    <n v="850105.68881536624"/>
    <n v="629100.09146568272"/>
    <n v="852120.64102698315"/>
    <n v="3"/>
    <n v="283020"/>
    <n v="1.8499999999999996"/>
    <m/>
    <n v="89"/>
    <n v="16.02"/>
    <n v="0.89"/>
    <n v="0.65943405814012868"/>
    <s v="Se establecio consumo a 550kg diario"/>
  </r>
  <r>
    <x v="13"/>
    <x v="4"/>
    <n v="9.4"/>
    <d v="2025-12-21T00:00:00"/>
    <x v="33"/>
    <n v="32"/>
    <n v="-36.405529953917053"/>
    <n v="3450"/>
    <n v="14050"/>
    <n v="0.96001412132230579"/>
    <n v="3432.4218061674005"/>
    <n v="52.431610942249236"/>
    <n v="43.235434107569255"/>
    <n v="492.85714285714283"/>
    <n v="82.446808510638292"/>
    <n v="775"/>
    <n v="670"/>
    <n v="71.276595744680847"/>
    <n v="12.85"/>
    <n v="3.3646252223789301E-2"/>
    <n v="5.2999999999999999E-2"/>
    <n v="4.5830863287853491E-2"/>
    <n v="3422.3203532717789"/>
    <n v="14622.641509433963"/>
    <n v="14618.96966225311"/>
    <n v="21591.451664200002"/>
    <n v="9814.2962110000008"/>
    <n v="2176.4064919424213"/>
    <n v="9299.1913746630726"/>
    <n v="14618.96966225311"/>
    <n v="1701400"/>
    <n v="181000"/>
    <n v="1139938"/>
    <n v="3432.4218061674005"/>
    <n v="1137948.7555979737"/>
    <n v="723672.48051852698"/>
    <n v="1137663.0087356507"/>
    <n v="4"/>
    <n v="284984.5"/>
    <n v="1.7699999999999996"/>
    <m/>
    <n v="67"/>
    <n v="12.127000000000001"/>
    <n v="0.67"/>
    <n v="0.42533941490450627"/>
    <s v="Se establecio consumo a 550kg diario"/>
  </r>
  <r>
    <x v="12"/>
    <x v="2"/>
    <n v="5.3"/>
    <d v="2025-12-21T00:00:00"/>
    <x v="34"/>
    <n v="39"/>
    <n v="0"/>
    <n v="4620"/>
    <n v="13970"/>
    <n v="0.95522662539924752"/>
    <n v="6083.3656387665196"/>
    <n v="124.52830188679246"/>
    <n v="77.73302240124373"/>
    <n v="660"/>
    <n v="124.52830188679246"/>
    <n v="660"/>
    <n v="587"/>
    <n v="110.75471698113208"/>
    <n v="17.239999999999998"/>
    <n v="4.508876009352885E-2"/>
    <n v="4.4999999999999998E-2"/>
    <n v="4.0123151287727976E-2"/>
    <n v="6088.0503144654103"/>
    <n v="14666.666666666668"/>
    <n v="14629.957547216367"/>
    <n v="28660.801435199999"/>
    <n v="13027.637015999999"/>
    <n v="6088.0503144654103"/>
    <n v="14666.666666666668"/>
    <n v="14629.957547216367"/>
    <n v="954000"/>
    <n v="180000"/>
    <n v="849060"/>
    <n v="6083.3656387665196"/>
    <n v="850734.72544470243"/>
    <n v="850734.72544470243"/>
    <n v="848605.4261726432"/>
    <n v="3"/>
    <n v="283020"/>
    <n v="5.1499999999999986"/>
    <m/>
    <n v="89"/>
    <n v="16.02"/>
    <n v="0.89"/>
    <n v="0.89175547740534844"/>
    <m/>
  </r>
  <r>
    <x v="13"/>
    <x v="3"/>
    <n v="9.4"/>
    <d v="2025-12-21T00:00:00"/>
    <x v="34"/>
    <n v="39"/>
    <n v="0"/>
    <n v="4865"/>
    <n v="18915"/>
    <n v="1.0704369191927674"/>
    <n v="4144.2621145374451"/>
    <n v="73.936170212765958"/>
    <n v="74.270386954059234"/>
    <n v="695"/>
    <n v="73.936170212765958"/>
    <n v="695"/>
    <n v="605"/>
    <n v="64.361702127659569"/>
    <n v="18.899999999999999"/>
    <n v="3.9296501033893767E-2"/>
    <n v="4.4000000000000004E-2"/>
    <n v="3.8302401700760692E-2"/>
    <n v="3696.8085106382978"/>
    <n v="15795.454545454544"/>
    <n v="15795.354158900813"/>
    <n v="21400.12413"/>
    <n v="9727.3291499999996"/>
    <n v="3696.8085106382978"/>
    <n v="15795.454545454544"/>
    <n v="15795.354158900813"/>
    <n v="1701400"/>
    <n v="181000"/>
    <n v="935770"/>
    <n v="4144.2621145374451"/>
    <n v="835738.33573833574"/>
    <n v="835738.33573833574"/>
    <n v="835733.02428046637"/>
    <n v="4"/>
    <n v="233942.5"/>
    <n v="6.0499999999999989"/>
    <m/>
    <n v="55"/>
    <n v="9.9550000000000001"/>
    <n v="0.55000000000000004"/>
    <n v="0.49120626292367209"/>
    <m/>
  </r>
  <r>
    <x v="12"/>
    <x v="2"/>
    <n v="5.3"/>
    <d v="2025-12-21T00:00:00"/>
    <x v="35"/>
    <n v="46"/>
    <n v="0"/>
    <n v="4935"/>
    <n v="18905"/>
    <n v="1.0745217339563518"/>
    <n v="7318.3876651982373"/>
    <n v="133.01886792452831"/>
    <n v="83.033001201328517"/>
    <n v="705"/>
    <n v="133.01886792452831"/>
    <n v="705"/>
    <n v="645"/>
    <n v="121.69811320754718"/>
    <n v="20.74"/>
    <n v="4.0035198264864291E-2"/>
    <n v="0.04"/>
    <n v="3.65450291071324E-2"/>
    <n v="7316.0377358490578"/>
    <n v="17625"/>
    <n v="17649.459194824311"/>
    <n v="34479.409615199998"/>
    <n v="15672.458916"/>
    <n v="7316.0377358490578"/>
    <n v="17625"/>
    <n v="17649.459194824311"/>
    <n v="954000"/>
    <n v="180000"/>
    <n v="849060"/>
    <n v="7318.3876651982373"/>
    <n v="849807.13596914185"/>
    <n v="849807.13596914185"/>
    <n v="850986.46069548279"/>
    <n v="3"/>
    <n v="283020"/>
    <n v="3.5"/>
    <m/>
    <n v="89"/>
    <n v="16.02"/>
    <n v="0.89"/>
    <n v="0.89078316139323044"/>
    <m/>
  </r>
  <r>
    <x v="13"/>
    <x v="3"/>
    <n v="9.4"/>
    <d v="2025-12-21T00:00:00"/>
    <x v="35"/>
    <n v="46"/>
    <n v="0"/>
    <n v="5390"/>
    <n v="24305"/>
    <n v="1.1352112361242053"/>
    <n v="5021.3546255506608"/>
    <n v="81.914893617021278"/>
    <n v="82.285176913130371"/>
    <n v="770"/>
    <n v="81.914893617021278"/>
    <n v="770"/>
    <n v="740"/>
    <n v="78.723404255319153"/>
    <n v="22.9"/>
    <n v="3.5932391665122423E-2"/>
    <n v="3.6000000000000004E-2"/>
    <n v="3.4593871537927458E-2"/>
    <n v="5005.9101654846327"/>
    <n v="21388.888888888887"/>
    <n v="21391.072091734255"/>
    <n v="25929.250930000006"/>
    <n v="11786.023150000001"/>
    <n v="5005.9101654846327"/>
    <n v="21388.888888888887"/>
    <n v="21391.072091734255"/>
    <n v="1701400"/>
    <n v="181000"/>
    <n v="935770"/>
    <n v="5021.3546255506608"/>
    <n v="934012.61523532274"/>
    <n v="934012.61523532274"/>
    <n v="934107.95160411601"/>
    <n v="4"/>
    <n v="233942.5"/>
    <n v="4"/>
    <m/>
    <n v="55"/>
    <n v="9.9550000000000001"/>
    <n v="0.55000000000000004"/>
    <n v="0.5489670948838149"/>
    <m/>
  </r>
  <r>
    <x v="12"/>
    <x v="2"/>
    <n v="5.3"/>
    <d v="2025-12-21T00:00:00"/>
    <x v="36"/>
    <n v="53"/>
    <n v="-100"/>
    <m/>
    <n v="18905"/>
    <n v="0.92856586509394712"/>
    <n v="8468.7224669603529"/>
    <n v="0"/>
    <n v="0"/>
    <n v="0"/>
    <n v="150.9433962264151"/>
    <n v="800"/>
    <m/>
    <n v="0"/>
    <n v="24"/>
    <n v="0"/>
    <n v="3.5000000000000003E-2"/>
    <n v="3.3687540908377764E-2"/>
    <n v="9487.8706199460921"/>
    <n v="22857.142857142855"/>
    <n v="0"/>
    <n v="39899.027520000003"/>
    <n v="18135.921600000001"/>
    <n v="0"/>
    <n v="0"/>
    <n v="0"/>
    <n v="954000"/>
    <n v="180000"/>
    <n v="849060"/>
    <n v="8468.7224669603529"/>
    <n v="952380.95238095231"/>
    <n v="0"/>
    <n v="0"/>
    <n v="3"/>
    <n v="283020"/>
    <n v="3.2600000000000016"/>
    <m/>
    <n v="89"/>
    <n v="16.02"/>
    <n v="0.89"/>
    <n v="0"/>
    <m/>
  </r>
  <r>
    <x v="13"/>
    <x v="3"/>
    <n v="9.4"/>
    <d v="2025-12-21T00:00:00"/>
    <x v="36"/>
    <n v="53"/>
    <s v=""/>
    <m/>
    <n v="24305"/>
    <n v="0.96477635080866175"/>
    <n v="5908.4140969162991"/>
    <n v="0"/>
    <n v="0"/>
    <n v="0"/>
    <n v="0"/>
    <m/>
    <m/>
    <n v="0"/>
    <n v="26"/>
    <n v="0"/>
    <n v="3.4000000000000002E-2"/>
    <n v="3.214129367039182E-2"/>
    <n v="0"/>
    <n v="0"/>
    <n v="0"/>
    <n v="31619.293991999999"/>
    <n v="14372.406359999999"/>
    <n v="0"/>
    <n v="0"/>
    <n v="0"/>
    <n v="1701400"/>
    <n v="181000"/>
    <n v="969798"/>
    <n v="5908.4140969162991"/>
    <n v="0"/>
    <n v="0"/>
    <n v="0"/>
    <n v="4"/>
    <n v="242449.5"/>
    <n v="3.1000000000000014"/>
    <m/>
    <n v="57"/>
    <n v="10.317"/>
    <n v="0.56999999999999995"/>
    <n v="0"/>
    <m/>
  </r>
  <r>
    <x v="12"/>
    <x v="2"/>
    <n v="5.3"/>
    <d v="2025-12-21T00:00:00"/>
    <x v="37"/>
    <n v="60"/>
    <s v=""/>
    <m/>
    <n v="18905"/>
    <n v="1.2435214343828658"/>
    <n v="6323.7885462555078"/>
    <n v="0"/>
    <n v="0"/>
    <n v="0"/>
    <n v="0"/>
    <m/>
    <m/>
    <n v="0"/>
    <n v="27.5"/>
    <n v="0"/>
    <n v="3.2000000000000001E-2"/>
    <n v="3.1057769819062199E-2"/>
    <n v="0"/>
    <n v="0"/>
    <n v="0"/>
    <n v="19415.998800000001"/>
    <n v="8825.4539999999997"/>
    <n v="0"/>
    <n v="0"/>
    <n v="0"/>
    <n v="954000"/>
    <n v="180000"/>
    <n v="553320"/>
    <n v="6323.7885462555078"/>
    <n v="0"/>
    <n v="0"/>
    <n v="0"/>
    <n v="3"/>
    <n v="184440"/>
    <n v="3.5"/>
    <m/>
    <n v="58"/>
    <n v="10.44"/>
    <n v="0.57999999999999996"/>
    <n v="0"/>
    <m/>
  </r>
  <r>
    <x v="13"/>
    <x v="3"/>
    <n v="9.4"/>
    <d v="2025-12-21T00:00:00"/>
    <x v="37"/>
    <n v="60"/>
    <s v=""/>
    <m/>
    <n v="24305"/>
    <n v="0.83565081934449836"/>
    <n v="6821.3876651982373"/>
    <n v="0"/>
    <n v="0"/>
    <n v="0"/>
    <n v="0"/>
    <m/>
    <m/>
    <n v="0"/>
    <n v="29"/>
    <n v="0"/>
    <n v="3.1E-2"/>
    <n v="3.0031806016881143E-2"/>
    <n v="0"/>
    <n v="0"/>
    <n v="0"/>
    <n v="37786.018292000001"/>
    <n v="17175.46286"/>
    <n v="0"/>
    <n v="0"/>
    <n v="0"/>
    <n v="1701400"/>
    <n v="181000"/>
    <n v="1003826"/>
    <n v="6821.3876651982373"/>
    <n v="0"/>
    <n v="0"/>
    <n v="0"/>
    <n v="4"/>
    <n v="250956.5"/>
    <n v="3"/>
    <m/>
    <n v="59"/>
    <n v="10.679"/>
    <n v="0.59"/>
    <n v="0"/>
    <m/>
  </r>
  <r>
    <x v="14"/>
    <x v="2"/>
    <n v="6.3"/>
    <d v="2025-12-30T00:00:00"/>
    <x v="30"/>
    <n v="2"/>
    <n v="25"/>
    <n v="350"/>
    <n v="350"/>
    <n v="0.25271213483168176"/>
    <n v="484.65333039647572"/>
    <n v="27.777777777777779"/>
    <n v="15.401757303544118"/>
    <n v="175"/>
    <n v="22.222222222222221"/>
    <n v="140"/>
    <n v="115"/>
    <n v="18.253968253968253"/>
    <n v="1.22"/>
    <n v="0.12624391232413212"/>
    <n v="0.1"/>
    <n v="8.5449871391559601E-2"/>
    <n v="488.88888888888891"/>
    <n v="1400"/>
    <n v="1345.8182923767308"/>
    <n v="2744.6868020880001"/>
    <n v="1247.5849100400001"/>
    <n v="611.1111111111112"/>
    <n v="1750"/>
    <n v="1345.8182923767308"/>
    <n v="1262482.2"/>
    <n v="200394"/>
    <n v="1136233.98"/>
    <n v="484.65333039647572"/>
    <n v="1147540.9836065574"/>
    <n v="1434426.2295081967"/>
    <n v="1103129.7478497794"/>
    <n v="4"/>
    <n v="284058.495"/>
    <m/>
    <m/>
    <n v="90"/>
    <n v="18.03546"/>
    <n v="0.9"/>
    <n v="1.1361952109171889"/>
    <m/>
  </r>
  <r>
    <x v="15"/>
    <x v="3"/>
    <n v="7"/>
    <d v="2025-12-30T00:00:00"/>
    <x v="30"/>
    <n v="2"/>
    <n v="48.148148148148145"/>
    <n v="400"/>
    <n v="400"/>
    <n v="0.30138212209077364"/>
    <n v="417.99806167400885"/>
    <n v="28.571428571428573"/>
    <n v="15.808517123153408"/>
    <n v="200"/>
    <n v="19.285714285714285"/>
    <n v="135"/>
    <n v="120"/>
    <n v="17.142857142857142"/>
    <n v="1.05"/>
    <n v="0.15055730593479433"/>
    <n v="0.1"/>
    <n v="8.8267389513373748E-2"/>
    <n v="424.28571428571433"/>
    <n v="1350"/>
    <n v="1359.5054828467348"/>
    <n v="2630.2277232000006"/>
    <n v="1195.5580560000001"/>
    <n v="628.57142857142867"/>
    <n v="2000"/>
    <n v="1359.5054828467348"/>
    <n v="1405712"/>
    <n v="200816"/>
    <n v="1265140.8"/>
    <n v="417.99806167400885"/>
    <n v="1285714.2857142857"/>
    <n v="1904761.9047619046"/>
    <n v="1294767.1265206998"/>
    <n v="4"/>
    <n v="316285.2"/>
    <m/>
    <m/>
    <n v="90"/>
    <n v="18.073439999999998"/>
    <n v="0.89999999999999991"/>
    <n v="1.3550157534131491"/>
    <m/>
  </r>
  <r>
    <x v="14"/>
    <x v="2"/>
    <n v="6.3"/>
    <d v="2025-12-30T00:00:00"/>
    <x v="31"/>
    <n v="9"/>
    <n v="-36.507936507936506"/>
    <n v="1400"/>
    <n v="1750"/>
    <n v="0.48173250702289333"/>
    <n v="1271.2218502202643"/>
    <n v="31.746031746031747"/>
    <n v="17.602008346907564"/>
    <n v="200"/>
    <n v="50"/>
    <n v="315"/>
    <n v="315"/>
    <n v="50"/>
    <n v="3.2"/>
    <n v="5.5006276084086127E-2"/>
    <n v="8.5999999999999993E-2"/>
    <n v="6.6638994383478756E-2"/>
    <n v="1279.0697674418607"/>
    <n v="3662.7906976744189"/>
    <n v="4726.9620875025585"/>
    <n v="7199.1784972800015"/>
    <n v="3272.3538624000003"/>
    <n v="812.10778885197499"/>
    <n v="2325.5813953488373"/>
    <n v="4726.9620875025585"/>
    <n v="1262482.2"/>
    <n v="200394"/>
    <n v="1136233.98"/>
    <n v="1271.2218502202643"/>
    <n v="1144622.0930232557"/>
    <n v="726744.18604651152"/>
    <n v="1477175.6523445495"/>
    <n v="4"/>
    <n v="284058.495"/>
    <n v="1.9800000000000002"/>
    <m/>
    <n v="90"/>
    <n v="18.03546"/>
    <n v="0.9"/>
    <n v="0.57564707529857573"/>
    <m/>
  </r>
  <r>
    <x v="15"/>
    <x v="3"/>
    <n v="7"/>
    <d v="2025-12-30T00:00:00"/>
    <x v="31"/>
    <n v="9"/>
    <n v="-34.782608695652172"/>
    <n v="1575"/>
    <n v="1975"/>
    <n v="0.49445504405517549"/>
    <n v="1257.9751189427313"/>
    <n v="32.142857142857146"/>
    <n v="17.784581763547582"/>
    <n v="225"/>
    <n v="49.285714285714285"/>
    <n v="345"/>
    <n v="345"/>
    <n v="49.285714285714285"/>
    <n v="3.16"/>
    <n v="5.6280322036542985E-2"/>
    <n v="8.5999999999999993E-2"/>
    <n v="6.7269914701134678E-2"/>
    <n v="1260.7973421926913"/>
    <n v="4011.6279069767447"/>
    <n v="5128.5927971331394"/>
    <n v="7915.732957440001"/>
    <n v="3598.0604352"/>
    <n v="822.25913621262475"/>
    <n v="2616.2790697674423"/>
    <n v="5128.5927971331394"/>
    <n v="1405712"/>
    <n v="200816"/>
    <n v="1265140.8"/>
    <n v="1257.9751189427313"/>
    <n v="1269502.5022078305"/>
    <n v="827936.4144833677"/>
    <n v="1622972.4041560567"/>
    <n v="4"/>
    <n v="316285.2"/>
    <n v="2.1100000000000003"/>
    <m/>
    <n v="90"/>
    <n v="18.073439999999998"/>
    <n v="0.89999999999999991"/>
    <n v="0.58898011433591502"/>
    <m/>
  </r>
  <r>
    <x v="14"/>
    <x v="2"/>
    <n v="6.3"/>
    <d v="2025-12-30T00:00:00"/>
    <x v="32"/>
    <n v="16"/>
    <n v="-47.330447330447328"/>
    <n v="1825"/>
    <n v="3575"/>
    <n v="0.54767899431969191"/>
    <n v="2284.2267621145375"/>
    <n v="41.383219954648531"/>
    <n v="22.945475166504504"/>
    <n v="260.71428571428572"/>
    <n v="78.571428571428569"/>
    <n v="495"/>
    <n v="372"/>
    <n v="59.047619047619051"/>
    <n v="5.75"/>
    <n v="3.9905174202616529E-2"/>
    <n v="7.5999999999999998E-2"/>
    <n v="5.691707067520306E-2"/>
    <n v="2274.4360902255644"/>
    <n v="6513.1578947368425"/>
    <n v="6535.8247637657933"/>
    <n v="12936.023862300002"/>
    <n v="5880.0108465000003"/>
    <n v="1197.9353144766681"/>
    <n v="3430.4511278195491"/>
    <n v="6535.8247637657933"/>
    <n v="1262482.2"/>
    <n v="200394"/>
    <n v="1136233.98"/>
    <n v="2284.2267621145375"/>
    <n v="1132723.1121281465"/>
    <n v="596600.1961425303"/>
    <n v="1136665.1763070945"/>
    <n v="3"/>
    <n v="378744.66"/>
    <n v="2.5499999999999998"/>
    <m/>
    <n v="90"/>
    <n v="18.03546"/>
    <n v="0.9"/>
    <n v="0.47256127345203786"/>
    <s v="13-01-2026 iniciaron timer y paso sónico mismo día"/>
  </r>
  <r>
    <x v="15"/>
    <x v="3"/>
    <n v="7"/>
    <d v="2025-12-30T00:00:00"/>
    <x v="32"/>
    <n v="16"/>
    <n v="-36.84210526315789"/>
    <n v="2100"/>
    <n v="4075"/>
    <n v="0.66884790191695942"/>
    <n v="1918.8101497797359"/>
    <n v="42.857142857142854"/>
    <n v="23.712775684730111"/>
    <n v="300"/>
    <n v="67.857142857142861"/>
    <n v="475"/>
    <n v="365"/>
    <n v="52.142857142857146"/>
    <n v="4.82"/>
    <n v="4.9196630051307276E-2"/>
    <n v="0.08"/>
    <n v="5.9341484835740754E-2"/>
    <n v="1866.0714285714287"/>
    <n v="5937.5"/>
    <n v="6150.8403608425442"/>
    <n v="12073.997738880002"/>
    <n v="5488.1807904000007"/>
    <n v="1178.5714285714287"/>
    <n v="3750"/>
    <n v="6150.8403608425442"/>
    <n v="1405712"/>
    <n v="200816"/>
    <n v="1265140.8"/>
    <n v="1918.8101497797359"/>
    <n v="1231846.4730290456"/>
    <n v="778008.29875518673"/>
    <n v="1276107.9586810258"/>
    <n v="3"/>
    <n v="421713.60000000003"/>
    <n v="1.6600000000000001"/>
    <m/>
    <n v="90"/>
    <n v="18.073439999999998"/>
    <n v="0.89999999999999991"/>
    <n v="0.55346208807720698"/>
    <s v="13-01-2026 iniciaron timer y paso sónico mismo día"/>
  </r>
  <r>
    <x v="14"/>
    <x v="2"/>
    <n v="6.3"/>
    <d v="2025-12-30T00:00:00"/>
    <x v="33"/>
    <n v="23"/>
    <n v="-20.0524246395806"/>
    <n v="3050"/>
    <n v="6625"/>
    <n v="0.89920573619945754"/>
    <n v="2578.1968149779736"/>
    <n v="69.16099773242631"/>
    <n v="38.347232470048624"/>
    <n v="435.71428571428572"/>
    <n v="86.507936507936506"/>
    <n v="545"/>
    <n v="410"/>
    <n v="65.079365079365076"/>
    <n v="6.49"/>
    <n v="5.9086644792062583E-2"/>
    <n v="7.400000000000001E-2"/>
    <n v="5.5582989723962001E-2"/>
    <n v="2571.8575718575717"/>
    <n v="7364.8648648648641"/>
    <n v="7376.357443817883"/>
    <n v="14600.833889796004"/>
    <n v="6636.742677180001"/>
    <n v="2056.1377704234847"/>
    <n v="5888.0308880308876"/>
    <n v="7376.357443817883"/>
    <n v="1262482.2"/>
    <n v="200394"/>
    <n v="1136233.98"/>
    <n v="2578.1968149779736"/>
    <n v="1134801.9822596093"/>
    <n v="907246.6699585343"/>
    <n v="1136572.7956576091"/>
    <n v="3"/>
    <n v="378744.66"/>
    <n v="0.74000000000000021"/>
    <m/>
    <n v="90"/>
    <n v="18.03546"/>
    <m/>
    <n v="0.71862135557913953"/>
    <s v="Se establecio consumo a 475kg diario"/>
  </r>
  <r>
    <x v="15"/>
    <x v="3"/>
    <n v="7"/>
    <d v="2025-12-30T00:00:00"/>
    <x v="33"/>
    <n v="23"/>
    <n v="0"/>
    <n v="3675"/>
    <n v="7750"/>
    <n v="1.157311330975086"/>
    <n v="2109.0324422907488"/>
    <n v="75"/>
    <n v="39.313286003631504"/>
    <n v="525"/>
    <n v="75"/>
    <n v="525"/>
    <n v="395"/>
    <n v="56.428571428571431"/>
    <n v="5.0190000000000001"/>
    <n v="7.8328922103270568E-2"/>
    <n v="7.8E-2"/>
    <n v="5.8720844592601698E-2"/>
    <n v="2115.3846153846157"/>
    <n v="6730.7692307692305"/>
    <n v="6726.7424837034187"/>
    <n v="14008.235662343999"/>
    <n v="6367.3798465199989"/>
    <n v="2115.3846153846157"/>
    <n v="6730.7692307692305"/>
    <n v="6726.7424837034187"/>
    <n v="1405712"/>
    <n v="200816"/>
    <n v="1335426.3999999999"/>
    <n v="2109.0324422907488"/>
    <n v="1341057.8264134747"/>
    <n v="1341057.8264134747"/>
    <n v="1340255.5257428607"/>
    <n v="3"/>
    <n v="445142.1333333333"/>
    <n v="0.19899999999999984"/>
    <m/>
    <n v="95"/>
    <n v="19.07752"/>
    <m/>
    <n v="0.95400610253983376"/>
    <s v="Se establecio consumo a 525kg diario"/>
  </r>
  <r>
    <x v="14"/>
    <x v="2"/>
    <n v="6.3"/>
    <d v="2025-12-30T00:00:00"/>
    <x v="34"/>
    <n v="30"/>
    <n v="-6.8027210884353746"/>
    <n v="4795"/>
    <n v="11420"/>
    <n v="0.85614262549031561"/>
    <n v="4667.7677312775331"/>
    <n v="108.73015873015873"/>
    <n v="60.286878588158402"/>
    <n v="685"/>
    <n v="116.66666666666667"/>
    <n v="735"/>
    <n v="635"/>
    <n v="100.7936507936508"/>
    <n v="11.75"/>
    <n v="5.1307981777156085E-2"/>
    <n v="5.5E-2"/>
    <n v="4.7566687883979317E-2"/>
    <n v="4666.6666666666679"/>
    <n v="13363.636363636364"/>
    <n v="13349.67869843784"/>
    <n v="26434.483544700004"/>
    <n v="12015.674338500001"/>
    <n v="4349.2063492063489"/>
    <n v="12454.545454545454"/>
    <n v="13349.67869843784"/>
    <n v="1262482.2"/>
    <n v="200394"/>
    <n v="1136233.98"/>
    <n v="4667.7677312775331"/>
    <n v="1137330.7543520308"/>
    <n v="1059961.315280464"/>
    <n v="1136142.8679521566"/>
    <n v="4"/>
    <n v="284058.495"/>
    <n v="5.26"/>
    <m/>
    <n v="90"/>
    <n v="18.03546"/>
    <m/>
    <n v="0.83958515635346309"/>
    <m/>
  </r>
  <r>
    <x v="15"/>
    <x v="3"/>
    <n v="7"/>
    <d v="2025-12-30T00:00:00"/>
    <x v="34"/>
    <n v="30"/>
    <s v=""/>
    <m/>
    <n v="7750"/>
    <n v="0.56665827599668916"/>
    <n v="4307.3705022026434"/>
    <n v="0"/>
    <n v="0"/>
    <n v="0"/>
    <n v="0"/>
    <m/>
    <m/>
    <n v="0"/>
    <n v="10.82"/>
    <n v="0"/>
    <n v="5.7000000000000002E-2"/>
    <n v="4.911293512196524E-2"/>
    <n v="0"/>
    <n v="0"/>
    <n v="0"/>
    <n v="27103.870442880005"/>
    <n v="12319.941110400001"/>
    <n v="0"/>
    <n v="0"/>
    <n v="0"/>
    <n v="1405712"/>
    <n v="200816"/>
    <n v="1265140.8"/>
    <n v="4307.3705022026434"/>
    <n v="0"/>
    <n v="0"/>
    <n v="0"/>
    <n v="4"/>
    <n v="316285.2"/>
    <n v="5.8010000000000002"/>
    <m/>
    <n v="90"/>
    <n v="18.073439999999998"/>
    <m/>
    <n v="0"/>
    <m/>
  </r>
  <r>
    <x v="14"/>
    <x v="2"/>
    <n v="6.3"/>
    <d v="2025-12-30T00:00:00"/>
    <x v="35"/>
    <n v="37"/>
    <n v="-5.8823529411764701"/>
    <n v="5488"/>
    <n v="16908"/>
    <n v="0.97665297731064593"/>
    <n v="6058.1666299559465"/>
    <n v="124.44444444444444"/>
    <n v="68.999872719877644"/>
    <n v="784"/>
    <n v="132.22222222222223"/>
    <n v="833"/>
    <n v="735"/>
    <n v="116.66666666666667"/>
    <n v="15.25"/>
    <n v="4.5245818176968947E-2"/>
    <n v="4.8000000000000001E-2"/>
    <n v="4.2511098216889101E-2"/>
    <n v="6060.1851851851861"/>
    <n v="17354.166666666668"/>
    <n v="17289.602735033415"/>
    <n v="34308.585026100009"/>
    <n v="15594.811375500001"/>
    <n v="5703.7037037037044"/>
    <n v="16333.333333333332"/>
    <n v="17289.602735033415"/>
    <n v="1262482.2"/>
    <n v="200394"/>
    <n v="1136233.98"/>
    <n v="6058.1666299559465"/>
    <n v="1137978.1420765028"/>
    <n v="1071038.2513661201"/>
    <n v="1133744.4416415354"/>
    <n v="4"/>
    <n v="284058.495"/>
    <n v="3.5"/>
    <m/>
    <n v="90"/>
    <n v="18.03546"/>
    <m/>
    <n v="0.84835909081816763"/>
    <m/>
  </r>
  <r>
    <x v="15"/>
    <x v="3"/>
    <n v="7"/>
    <d v="2025-12-30T00:00:00"/>
    <x v="35"/>
    <n v="37"/>
    <s v=""/>
    <m/>
    <n v="7750"/>
    <n v="0.42815939569023581"/>
    <n v="5700.6973744493389"/>
    <n v="0"/>
    <n v="0"/>
    <n v="0"/>
    <n v="0"/>
    <m/>
    <m/>
    <n v="0"/>
    <n v="14.32"/>
    <n v="0"/>
    <n v="0.05"/>
    <n v="4.369017598649818E-2"/>
    <n v="0"/>
    <n v="0"/>
    <n v="0"/>
    <n v="35871.296186880005"/>
    <n v="16305.1346304"/>
    <n v="0"/>
    <n v="0"/>
    <n v="0"/>
    <n v="1405712"/>
    <n v="200816"/>
    <n v="1265140.8"/>
    <n v="5700.6973744493389"/>
    <n v="0"/>
    <n v="0"/>
    <n v="0"/>
    <n v="4"/>
    <n v="316285.2"/>
    <n v="3.5"/>
    <m/>
    <n v="90"/>
    <n v="18.073439999999998"/>
    <m/>
    <n v="0"/>
    <m/>
  </r>
  <r>
    <x v="14"/>
    <x v="2"/>
    <n v="6.3"/>
    <d v="2025-12-30T00:00:00"/>
    <x v="36"/>
    <n v="44"/>
    <s v=""/>
    <m/>
    <n v="16908"/>
    <n v="0.78389252126249198"/>
    <n v="7547.87973568282"/>
    <n v="0"/>
    <n v="0"/>
    <n v="0"/>
    <n v="0"/>
    <m/>
    <m/>
    <n v="0"/>
    <n v="19"/>
    <n v="0"/>
    <n v="4.4000000000000004E-2"/>
    <n v="3.8200460684470326E-2"/>
    <n v="0"/>
    <n v="0"/>
    <n v="0"/>
    <n v="42745.122327600009"/>
    <n v="19429.601058000004"/>
    <n v="0"/>
    <n v="0"/>
    <n v="0"/>
    <n v="1262482.2"/>
    <n v="200394"/>
    <n v="1136233.98"/>
    <n v="7547.87973568282"/>
    <n v="0"/>
    <n v="0"/>
    <n v="0"/>
    <m/>
    <e v="#DIV/0!"/>
    <n v="3.75"/>
    <m/>
    <n v="90"/>
    <n v="18.03546"/>
    <n v="0.9"/>
    <n v="0"/>
    <m/>
  </r>
  <r>
    <x v="15"/>
    <x v="3"/>
    <n v="7"/>
    <d v="2025-12-30T00:00:00"/>
    <x v="36"/>
    <n v="44"/>
    <s v=""/>
    <m/>
    <n v="7750"/>
    <n v="0.34062458590467642"/>
    <n v="7165.6810572687236"/>
    <n v="0"/>
    <n v="0"/>
    <n v="0"/>
    <n v="0"/>
    <m/>
    <m/>
    <n v="0"/>
    <n v="18"/>
    <n v="0"/>
    <n v="4.4999999999999998E-2"/>
    <n v="3.9244919248962118E-2"/>
    <n v="0"/>
    <n v="0"/>
    <n v="0"/>
    <n v="45089.618112000004"/>
    <n v="20495.28096"/>
    <n v="0"/>
    <n v="0"/>
    <n v="0"/>
    <n v="1405712"/>
    <n v="200816"/>
    <n v="1265140.8"/>
    <n v="7165.6810572687236"/>
    <n v="0"/>
    <n v="0"/>
    <n v="0"/>
    <m/>
    <e v="#DIV/0!"/>
    <n v="3.6799999999999997"/>
    <m/>
    <n v="90"/>
    <n v="18.073439999999998"/>
    <n v="0.89999999999999991"/>
    <n v="0"/>
    <m/>
  </r>
  <r>
    <x v="14"/>
    <x v="2"/>
    <n v="6.3"/>
    <d v="2025-12-30T00:00:00"/>
    <x v="37"/>
    <n v="51"/>
    <s v=""/>
    <m/>
    <n v="16908"/>
    <n v="0.66195368462165993"/>
    <n v="8938.2786343612333"/>
    <n v="0"/>
    <n v="0"/>
    <n v="0"/>
    <n v="0"/>
    <m/>
    <m/>
    <n v="0"/>
    <n v="22.5"/>
    <n v="0"/>
    <n v="3.6000000000000004E-2"/>
    <n v="3.493428171654335E-2"/>
    <n v="0"/>
    <n v="0"/>
    <n v="0"/>
    <n v="50619.22380900001"/>
    <n v="23008.738095000004"/>
    <n v="0"/>
    <n v="0"/>
    <n v="0"/>
    <n v="1262482.2"/>
    <n v="200394"/>
    <n v="1136233.98"/>
    <n v="8938.2786343612333"/>
    <n v="0"/>
    <n v="0"/>
    <n v="0"/>
    <m/>
    <e v="#DIV/0!"/>
    <n v="3.5"/>
    <m/>
    <n v="90"/>
    <n v="18.03546"/>
    <n v="0.9"/>
    <n v="0"/>
    <m/>
  </r>
  <r>
    <x v="15"/>
    <x v="3"/>
    <n v="7"/>
    <d v="2025-12-30T00:00:00"/>
    <x v="37"/>
    <n v="51"/>
    <s v=""/>
    <m/>
    <n v="7750"/>
    <n v="0.29196393077543698"/>
    <n v="8359.9612334801768"/>
    <n v="0"/>
    <n v="0"/>
    <n v="0"/>
    <n v="0"/>
    <m/>
    <m/>
    <n v="0"/>
    <n v="21"/>
    <n v="0"/>
    <n v="0.04"/>
    <n v="3.6267070674814522E-2"/>
    <n v="0"/>
    <n v="0"/>
    <n v="0"/>
    <n v="52604.554464000008"/>
    <n v="23911.161120000001"/>
    <n v="0"/>
    <n v="0"/>
    <n v="0"/>
    <n v="1405712"/>
    <n v="200816"/>
    <n v="1265140.8"/>
    <n v="8359.9612334801768"/>
    <n v="0"/>
    <n v="0"/>
    <n v="0"/>
    <m/>
    <e v="#DIV/0!"/>
    <n v="3"/>
    <m/>
    <n v="90"/>
    <n v="18.073439999999998"/>
    <n v="0.89999999999999991"/>
    <n v="0"/>
    <m/>
  </r>
  <r>
    <x v="16"/>
    <x v="4"/>
    <n v="6.8"/>
    <d v="2026-01-17T00:00:00"/>
    <x v="33"/>
    <n v="5"/>
    <n v="-39.334637964774956"/>
    <n v="1550"/>
    <n v="1550"/>
    <n v="0.36352781050338095"/>
    <n v="1382.3402312775331"/>
    <n v="32.563025210084035"/>
    <n v="18.004597607581594"/>
    <n v="221.42857142857142"/>
    <n v="53.676470588235297"/>
    <n v="365"/>
    <n v="280"/>
    <n v="41.176470588235297"/>
    <n v="3.47"/>
    <n v="5.1886448436834563E-2"/>
    <n v="8.5999999999999993E-2"/>
    <n v="6.5450051048518434E-2"/>
    <n v="1373.1190150478797"/>
    <n v="4244.1860465116279"/>
    <n v="4278.0715295765722"/>
    <n v="8449.7703087600021"/>
    <n v="3840.8046858000007"/>
    <n v="833.00762165331264"/>
    <n v="2574.7508305647843"/>
    <n v="4278.0715295765722"/>
    <n v="1366494"/>
    <n v="200955"/>
    <n v="1229844.6000000001"/>
    <n v="1382.3402312775331"/>
    <n v="1223108.3707526303"/>
    <n v="742003.12120022601"/>
    <n v="1232873.6396474272"/>
    <n v="4"/>
    <n v="307461.15000000002"/>
    <n v="1.56"/>
    <m/>
    <n v="90"/>
    <n v="18.085950000000004"/>
    <n v="0.9"/>
    <n v="0.5429977161994316"/>
    <m/>
  </r>
  <r>
    <x v="17"/>
    <x v="2"/>
    <n v="5.8"/>
    <d v="2026-01-17T00:00:00"/>
    <x v="33"/>
    <n v="5"/>
    <n v="-48.412698412698411"/>
    <n v="1300"/>
    <n v="1300"/>
    <n v="0.29843081791285014"/>
    <n v="1655.7756541850224"/>
    <n v="32.019704433497537"/>
    <n v="17.762170240766462"/>
    <n v="185.71428571428572"/>
    <n v="62.068965517241381"/>
    <n v="360"/>
    <n v="275"/>
    <n v="47.413793103448278"/>
    <n v="4.17"/>
    <n v="4.2595132471862023E-2"/>
    <n v="8.199999999999999E-2"/>
    <n v="6.1964848606110401E-2"/>
    <n v="1665.2649285113546"/>
    <n v="4390.2439024390251"/>
    <n v="4438.0000304379355"/>
    <n v="8632.7771361480009"/>
    <n v="3923.98960734"/>
    <n v="859.06524089871471"/>
    <n v="2264.8083623693383"/>
    <n v="4438.0000304379355"/>
    <n v="1161734.2"/>
    <n v="200299"/>
    <n v="1045560.78"/>
    <n v="1655.7756541850224"/>
    <n v="1052816.2835585193"/>
    <n v="543119.51135955355"/>
    <n v="1064268.5924311595"/>
    <n v="4"/>
    <n v="261390.19500000001"/>
    <n v="2.21"/>
    <m/>
    <n v="90"/>
    <n v="18.026910000000001"/>
    <n v="0.9"/>
    <n v="0.46750755152043694"/>
    <s v="Se establecio consumo a 217kg diario"/>
  </r>
  <r>
    <x v="16"/>
    <x v="3"/>
    <n v="6.8"/>
    <d v="2026-01-17T00:00:00"/>
    <x v="34"/>
    <n v="12"/>
    <s v=""/>
    <m/>
    <n v="1550"/>
    <n v="0.28604115701739952"/>
    <n v="1756.8070374449342"/>
    <n v="0"/>
    <n v="0"/>
    <n v="0"/>
    <n v="0"/>
    <m/>
    <m/>
    <n v="0"/>
    <n v="4.41"/>
    <n v="0"/>
    <n v="8.199999999999999E-2"/>
    <n v="6.0747962432955022E-2"/>
    <n v="0"/>
    <n v="0"/>
    <n v="0"/>
    <n v="10738.757078280003"/>
    <n v="4881.2532174000007"/>
    <n v="0"/>
    <n v="0"/>
    <n v="0"/>
    <n v="1366494"/>
    <n v="200955"/>
    <n v="1229844.6000000001"/>
    <n v="1756.8070374449342"/>
    <n v="0"/>
    <n v="0"/>
    <n v="0"/>
    <n v="4"/>
    <n v="307461.15000000002"/>
    <n v="0.94"/>
    <m/>
    <n v="90"/>
    <n v="18.085950000000004"/>
    <n v="0.9"/>
    <n v="0"/>
    <m/>
  </r>
  <r>
    <x v="17"/>
    <x v="2"/>
    <n v="5.8"/>
    <d v="2026-01-17T00:00:00"/>
    <x v="34"/>
    <n v="12"/>
    <n v="-12.987012987012985"/>
    <n v="2345"/>
    <n v="3645"/>
    <n v="0.7823463231267771"/>
    <n v="1770.9255198237886"/>
    <n v="57.758620689655174"/>
    <n v="32.040222472767198"/>
    <n v="335"/>
    <n v="66.379310344827587"/>
    <n v="385"/>
    <n v="285"/>
    <n v="49.137931034482762"/>
    <n v="4.46"/>
    <n v="7.1839063840285197E-2"/>
    <n v="8.199999999999999E-2"/>
    <n v="6.0747962432955022E-2"/>
    <n v="1780.908326324643"/>
    <n v="4695.121951219513"/>
    <n v="4691.5153790473641"/>
    <n v="9233.1381360240011"/>
    <n v="4196.8809709200004"/>
    <n v="1549.621530698066"/>
    <n v="4085.3658536585372"/>
    <n v="4691.5153790473641"/>
    <n v="1161734.2"/>
    <n v="200299"/>
    <n v="1045560.78"/>
    <n v="1770.9255198237886"/>
    <n v="1052717.9262824021"/>
    <n v="916001.31247949274"/>
    <n v="1051909.2778133103"/>
    <n v="4"/>
    <n v="261390.19500000001"/>
    <n v="0.29000000000000004"/>
    <m/>
    <n v="90"/>
    <n v="18.026910000000001"/>
    <n v="0.9"/>
    <n v="0.78847752995434994"/>
    <m/>
  </r>
  <r>
    <x v="16"/>
    <x v="3"/>
    <n v="6.8"/>
    <d v="2026-01-17T00:00:00"/>
    <x v="35"/>
    <n v="19"/>
    <s v=""/>
    <m/>
    <n v="1550"/>
    <n v="0.16819220032623095"/>
    <n v="2987.7670704845814"/>
    <n v="0"/>
    <n v="0"/>
    <n v="0"/>
    <n v="0"/>
    <m/>
    <m/>
    <n v="0"/>
    <n v="7.5"/>
    <n v="0"/>
    <n v="6.8000000000000005E-2"/>
    <n v="5.4181035642206325E-2"/>
    <n v="0"/>
    <n v="0"/>
    <n v="0"/>
    <n v="18263.192310000006"/>
    <n v="8301.4510500000015"/>
    <n v="0"/>
    <n v="0"/>
    <n v="0"/>
    <n v="1366494"/>
    <n v="200955"/>
    <n v="1229844.6000000001"/>
    <n v="2987.7670704845814"/>
    <n v="0"/>
    <n v="0"/>
    <n v="0"/>
    <n v="4"/>
    <n v="307461.15000000002"/>
    <n v="3.09"/>
    <m/>
    <n v="90"/>
    <n v="18.085950000000004"/>
    <n v="0.9"/>
    <n v="0"/>
    <m/>
  </r>
  <r>
    <x v="17"/>
    <x v="2"/>
    <n v="5.8"/>
    <d v="2026-01-17T00:00:00"/>
    <x v="35"/>
    <n v="19"/>
    <n v="-10.2803738317757"/>
    <n v="3360"/>
    <n v="7005"/>
    <n v="0.89409413922354664"/>
    <n v="2978.013766519824"/>
    <n v="82.758620689655174"/>
    <n v="45.90837846844255"/>
    <n v="480"/>
    <n v="92.241379310344826"/>
    <n v="535"/>
    <n v="425"/>
    <n v="73.275862068965523"/>
    <n v="7.5"/>
    <n v="6.1211171291256736E-2"/>
    <n v="6.8000000000000005E-2"/>
    <n v="5.4181035642206325E-2"/>
    <n v="2984.2799188640975"/>
    <n v="7867.6470588235288"/>
    <n v="7844.0730222759066"/>
    <n v="15526.577583000002"/>
    <n v="7057.5352650000004"/>
    <n v="2677.4847870182552"/>
    <n v="7058.823529411764"/>
    <n v="7844.0730222759066"/>
    <n v="1161734.2"/>
    <n v="200299"/>
    <n v="1045560.78"/>
    <n v="2978.013766519824"/>
    <n v="1049019.6078431371"/>
    <n v="941176.47058823518"/>
    <n v="1045876.4029701209"/>
    <n v="4"/>
    <n v="261390.19500000001"/>
    <n v="3.04"/>
    <m/>
    <n v="90"/>
    <n v="18.026910000000001"/>
    <n v="0.9"/>
    <n v="0.81014785532545674"/>
    <m/>
  </r>
  <r>
    <x v="16"/>
    <x v="3"/>
    <n v="6.8"/>
    <d v="2026-01-17T00:00:00"/>
    <x v="36"/>
    <n v="26"/>
    <s v=""/>
    <m/>
    <n v="1550"/>
    <n v="0.12614415024467321"/>
    <n v="3983.689427312775"/>
    <n v="0"/>
    <n v="0"/>
    <n v="0"/>
    <n v="0"/>
    <m/>
    <m/>
    <n v="0"/>
    <n v="10"/>
    <n v="0"/>
    <n v="5.7999999999999996E-2"/>
    <n v="5.0599651410657261E-2"/>
    <n v="0"/>
    <n v="0"/>
    <n v="0"/>
    <n v="24350.923080000004"/>
    <n v="11068.601400000001"/>
    <n v="0"/>
    <n v="0"/>
    <n v="0"/>
    <n v="1366494"/>
    <n v="200955"/>
    <n v="1229844.6000000001"/>
    <n v="3983.689427312775"/>
    <n v="0"/>
    <n v="0"/>
    <n v="0"/>
    <m/>
    <e v="#DIV/0!"/>
    <n v="2.5"/>
    <m/>
    <n v="90"/>
    <n v="18.085950000000004"/>
    <n v="0.9"/>
    <n v="0"/>
    <m/>
  </r>
  <r>
    <x v="17"/>
    <x v="2"/>
    <n v="5.8"/>
    <d v="2026-01-17T00:00:00"/>
    <x v="36"/>
    <n v="26"/>
    <s v=""/>
    <m/>
    <n v="7005"/>
    <n v="0.67057060441765992"/>
    <n v="3970.6850220264323"/>
    <n v="0"/>
    <n v="0"/>
    <n v="0"/>
    <n v="0"/>
    <m/>
    <m/>
    <n v="0"/>
    <n v="10"/>
    <n v="0"/>
    <n v="5.7999999999999996E-2"/>
    <n v="5.0599651410657261E-2"/>
    <n v="0"/>
    <n v="0"/>
    <n v="0"/>
    <n v="20702.103444"/>
    <n v="9410.04702"/>
    <n v="0"/>
    <n v="0"/>
    <n v="0"/>
    <n v="1161734.2"/>
    <n v="200299"/>
    <n v="1045560.78"/>
    <n v="3970.6850220264323"/>
    <n v="0"/>
    <n v="0"/>
    <n v="0"/>
    <m/>
    <e v="#DIV/0!"/>
    <n v="2.5"/>
    <m/>
    <n v="90"/>
    <n v="18.026910000000001"/>
    <n v="0.9"/>
    <n v="0"/>
    <m/>
  </r>
  <r>
    <x v="16"/>
    <x v="3"/>
    <n v="6.8"/>
    <d v="2026-01-17T00:00:00"/>
    <x v="37"/>
    <n v="33"/>
    <s v=""/>
    <m/>
    <n v="1550"/>
    <n v="9.7033961726671669E-2"/>
    <n v="5178.7962555066088"/>
    <n v="0"/>
    <n v="0"/>
    <n v="0"/>
    <n v="0"/>
    <m/>
    <m/>
    <n v="0"/>
    <n v="13"/>
    <n v="0"/>
    <n v="5.2000000000000005E-2"/>
    <n v="4.553135685803314E-2"/>
    <n v="0"/>
    <n v="0"/>
    <n v="0"/>
    <n v="31656.200004000006"/>
    <n v="14389.181820000002"/>
    <n v="0"/>
    <n v="0"/>
    <n v="0"/>
    <n v="1366494"/>
    <n v="200955"/>
    <n v="1229844.6000000001"/>
    <n v="5178.7962555066088"/>
    <n v="0"/>
    <n v="0"/>
    <n v="0"/>
    <m/>
    <e v="#DIV/0!"/>
    <n v="3"/>
    <m/>
    <n v="90"/>
    <n v="18.085950000000004"/>
    <n v="0.9"/>
    <n v="0"/>
    <m/>
  </r>
  <r>
    <x v="17"/>
    <x v="2"/>
    <n v="5.8"/>
    <d v="2026-01-17T00:00:00"/>
    <x v="37"/>
    <n v="33"/>
    <s v=""/>
    <m/>
    <n v="7005"/>
    <n v="0.51582354185973844"/>
    <n v="5161.8905286343615"/>
    <n v="0"/>
    <n v="0"/>
    <n v="0"/>
    <n v="0"/>
    <m/>
    <m/>
    <n v="0"/>
    <n v="13"/>
    <n v="0"/>
    <n v="5.2000000000000005E-2"/>
    <n v="4.553135685803314E-2"/>
    <n v="0"/>
    <n v="0"/>
    <n v="0"/>
    <n v="26912.734477200003"/>
    <n v="12233.061126000001"/>
    <n v="0"/>
    <n v="0"/>
    <n v="0"/>
    <n v="1161734.2"/>
    <n v="200299"/>
    <n v="1045560.78"/>
    <n v="5161.8905286343615"/>
    <n v="0"/>
    <n v="0"/>
    <n v="0"/>
    <m/>
    <e v="#DIV/0!"/>
    <n v="3"/>
    <m/>
    <n v="90"/>
    <n v="18.026910000000001"/>
    <n v="0.9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CA3FA0-148E-4400-B31B-07A725ACF177}" name="TablaDinámica1" cacheId="2" applyNumberFormats="0" applyBorderFormats="0" applyFontFormats="0" applyPatternFormats="0" applyAlignmentFormats="0" applyWidthHeightFormats="1" dataCaption="Valores" showError="1" updatedVersion="8" minRefreshableVersion="3" useAutoFormatting="1" itemPrintTitles="1" createdVersion="8" indent="0" compact="0" compactData="0" gridDropZones="1" multipleFieldFilters="0" chartFormat="9">
  <location ref="A1:I6" firstHeaderRow="1" firstDataRow="2" firstDataCol="1"/>
  <pivotFields count="49">
    <pivotField axis="axisRow" dataField="1" compact="0" outline="0" showAll="0">
      <items count="82">
        <item h="1" m="1" x="52"/>
        <item h="1" m="1" x="44"/>
        <item h="1" m="1" x="53"/>
        <item h="1" m="1" x="54"/>
        <item h="1" m="1" x="20"/>
        <item h="1" m="1" x="55"/>
        <item h="1" m="1" x="56"/>
        <item h="1" m="1" x="57"/>
        <item h="1" m="1" x="58"/>
        <item h="1" m="1" x="59"/>
        <item h="1" m="1" x="60"/>
        <item h="1" x="0"/>
        <item h="1" m="1" x="33"/>
        <item h="1" m="1" x="37"/>
        <item h="1" m="1" x="61"/>
        <item h="1" m="1" x="62"/>
        <item h="1" m="1" x="35"/>
        <item h="1" x="1"/>
        <item h="1" m="1" x="43"/>
        <item h="1" m="1" x="38"/>
        <item h="1" m="1" x="42"/>
        <item h="1" m="1" x="41"/>
        <item h="1" m="1" x="34"/>
        <item h="1" m="1" x="40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18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19"/>
        <item h="1" m="1" x="21"/>
        <item h="1" m="1" x="22"/>
        <item h="1" m="1" x="23"/>
        <item h="1" m="1" x="24"/>
        <item h="1" m="1" x="25"/>
        <item h="1" m="1" x="26"/>
        <item h="1" m="1" x="27"/>
        <item h="1" m="1" x="28"/>
        <item h="1" m="1" x="29"/>
        <item h="1" m="1" x="30"/>
        <item h="1" m="1" x="31"/>
        <item h="1" m="1" x="32"/>
        <item h="1" m="1" x="47"/>
        <item h="1" m="1" x="48"/>
        <item h="1" m="1" x="49"/>
        <item h="1" m="1" x="50"/>
        <item h="1" m="1" x="39"/>
        <item h="1" m="1" x="51"/>
        <item h="1" m="1" x="36"/>
        <item h="1" m="1" x="46"/>
        <item h="1" m="1" x="45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3"/>
        <item x="14"/>
        <item h="1" x="15"/>
        <item h="1" x="16"/>
        <item x="17"/>
        <item t="default"/>
      </items>
    </pivotField>
    <pivotField compact="0" outline="0" showAll="0">
      <items count="31">
        <item m="1" x="7"/>
        <item m="1" x="26"/>
        <item x="4"/>
        <item x="0"/>
        <item x="2"/>
        <item x="3"/>
        <item m="1" x="5"/>
        <item m="1" x="6"/>
        <item m="1" x="29"/>
        <item m="1" x="27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8"/>
        <item m="1" x="25"/>
        <item m="1" x="8"/>
        <item m="1" x="9"/>
        <item m="1" x="10"/>
        <item m="1" x="11"/>
        <item m="1" x="12"/>
        <item m="1" x="13"/>
        <item m="1" x="14"/>
        <item x="1"/>
        <item t="default"/>
      </items>
    </pivotField>
    <pivotField dataField="1" compact="0" numFmtId="168" outline="0" showAll="0"/>
    <pivotField compact="0" numFmtId="14" outline="0" showAll="0"/>
    <pivotField dataField="1" compact="0" numFmtId="14" outline="0" showAll="0">
      <items count="47">
        <item h="1" m="1" x="38"/>
        <item h="1" x="0"/>
        <item h="1" x="1"/>
        <item h="1" m="1" x="45"/>
        <item h="1" x="2"/>
        <item h="1" x="3"/>
        <item h="1" x="4"/>
        <item h="1" m="1" x="39"/>
        <item h="1" m="1" x="43"/>
        <item h="1" x="5"/>
        <item h="1" m="1" x="42"/>
        <item h="1" m="1" x="44"/>
        <item h="1" x="6"/>
        <item h="1" m="1" x="41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20"/>
        <item h="1" x="21"/>
        <item h="1" x="17"/>
        <item h="1" x="22"/>
        <item h="1" x="18"/>
        <item h="1" x="19"/>
        <item h="1" x="23"/>
        <item h="1" x="24"/>
        <item h="1" m="1" x="40"/>
        <item h="1" x="25"/>
        <item h="1" x="26"/>
        <item h="1" x="27"/>
        <item h="1" x="28"/>
        <item h="1" x="29"/>
        <item h="1" x="30"/>
        <item h="1" x="31"/>
        <item h="1" x="32"/>
        <item x="33"/>
        <item h="1" x="34"/>
        <item h="1" x="35"/>
        <item h="1" x="36"/>
        <item h="1" x="37"/>
        <item t="default"/>
      </items>
    </pivotField>
    <pivotField dataField="1" compact="0" numFmtId="1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7" outline="0" showAll="0"/>
    <pivotField compact="0" numFmtId="1" outline="0" showAll="0"/>
    <pivotField compact="0" numFmtId="167" outline="0" showAll="0"/>
    <pivotField compact="0" outline="0" showAll="0"/>
    <pivotField compact="0" numFmtId="167" outline="0" showAll="0"/>
    <pivotField compact="0" outline="0" showAll="0"/>
    <pivotField compact="0" numFmtId="10" outline="0" showAll="0"/>
    <pivotField compact="0" numFmtId="10" outline="0" showAll="0"/>
    <pivotField compact="0" outline="0" showAll="0"/>
    <pivotField dataField="1" compact="0" numFmtId="167" outline="0" showAll="0"/>
    <pivotField compact="0" numFmtId="167" outline="0" showAll="0"/>
    <pivotField compact="0" outline="0" showAll="0"/>
    <pivotField dataField="1" compact="0" numFmtId="167" outline="0" showAll="0"/>
    <pivotField compact="0" numFmtId="167" outline="0" showAll="0"/>
    <pivotField compact="0" numFmtId="167" outline="0" showAll="0"/>
    <pivotField compact="0" numFmtId="167" outline="0" showAll="0"/>
    <pivotField compact="0" outline="0" showAll="0"/>
    <pivotField compact="0" numFmtId="167" outline="0" showAll="0"/>
    <pivotField dataField="1" compact="0" numFmtId="167" outline="0" showAll="0"/>
    <pivotField compact="0" numFmtId="167" outline="0" showAll="0"/>
    <pivotField compact="0" numFmtId="167" outline="0" showAll="0"/>
    <pivotField compact="0" numFmtId="167" outline="0" showAll="0"/>
    <pivotField compact="0" numFmtId="167" outline="0" showAll="0"/>
    <pivotField compact="0" outline="0" showAll="0"/>
    <pivotField compact="0" numFmtId="167" outline="0" showAll="0"/>
    <pivotField compact="0" numFmtId="1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  <pivotField compact="0" outline="0" showAll="0">
      <items count="5">
        <item x="1"/>
        <item x="2"/>
        <item x="0"/>
        <item x="3"/>
        <item t="default"/>
      </items>
    </pivotField>
  </pivotFields>
  <rowFields count="1">
    <field x="0"/>
  </rowFields>
  <rowItems count="4">
    <i>
      <x v="75"/>
    </i>
    <i>
      <x v="77"/>
    </i>
    <i>
      <x v="80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Fecha." fld="4" subtotal="max" baseField="0" baseItem="11" numFmtId="14"/>
    <dataField name="# de Ps" fld="0" subtotal="count" baseField="0" baseItem="11"/>
    <dataField name="Hectareaje" fld="2" baseField="0" baseItem="11" numFmtId="168"/>
    <dataField name="Densidad de siembra/Ha" fld="31" baseField="0" baseItem="11" numFmtId="167"/>
    <dataField name="Dias de cultivo" fld="5" subtotal="average" baseField="0" baseItem="11" numFmtId="1"/>
    <dataField name="Incremento actual (g)" fld="39" subtotal="average" baseField="0" baseItem="11" numFmtId="2"/>
    <dataField name="Biomasa Lb/Ha reportada" fld="25" baseField="0" baseItem="11" numFmtId="167"/>
    <dataField name="Biomasa Lb/Ha sugerencia" fld="22" subtotal="average" baseField="0" baseItem="11" numFmtId="167"/>
  </dataFields>
  <formats count="12">
    <format dxfId="23">
      <pivotArea field="0" type="button" dataOnly="0" labelOnly="1" outline="0" axis="axisRow" fieldPosition="0"/>
    </format>
    <format dxfId="22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21">
      <pivotArea dataOnly="0" labelOnly="1" outline="0" fieldPosition="0">
        <references count="1">
          <reference field="4294967294" count="7">
            <x v="1"/>
            <x v="2"/>
            <x v="3"/>
            <x v="4"/>
            <x v="5"/>
            <x v="6"/>
            <x v="7"/>
          </reference>
        </references>
      </pivotArea>
    </format>
    <format dxfId="20">
      <pivotArea outline="0" collapsedLevelsAreSubtotals="1" fieldPosition="0"/>
    </format>
    <format dxfId="19">
      <pivotArea field="0" type="button" dataOnly="0" labelOnly="1" outline="0" axis="axisRow" fieldPosition="0"/>
    </format>
    <format dxfId="18">
      <pivotArea dataOnly="0" labelOnly="1" outline="0" fieldPosition="0">
        <references count="1">
          <reference field="0" count="0"/>
        </references>
      </pivotArea>
    </format>
    <format dxfId="17">
      <pivotArea dataOnly="0" labelOnly="1" grandRow="1" outline="0" fieldPosition="0"/>
    </format>
    <format dxfId="16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5">
      <pivotArea field="0" type="button" dataOnly="0" labelOnly="1" outline="0" axis="axisRow" fieldPosition="0"/>
    </format>
    <format dxfId="14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3">
      <pivotArea field="0" type="button" dataOnly="0" labelOnly="1" outline="0" axis="axisRow" fieldPosition="0"/>
    </format>
    <format dxfId="12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sc" xr10:uid="{87975B41-3115-4D21-AF1C-276C66E8F538}" sourceName="Psc">
  <pivotTables>
    <pivotTable tabId="37" name="TablaDinámica1"/>
  </pivotTables>
  <data>
    <tabular pivotCacheId="684357995">
      <items count="81">
        <i x="16"/>
        <i x="13"/>
        <i x="17" s="1"/>
        <i x="12" s="1"/>
        <i x="14" s="1"/>
        <i x="15"/>
        <i x="52" nd="1"/>
        <i x="44" nd="1"/>
        <i x="53" nd="1"/>
        <i x="54" nd="1"/>
        <i x="20" nd="1"/>
        <i x="55" nd="1"/>
        <i x="56" nd="1"/>
        <i x="57" nd="1"/>
        <i x="58" nd="1"/>
        <i x="59" nd="1"/>
        <i x="60" nd="1"/>
        <i x="0" nd="1"/>
        <i x="33" nd="1"/>
        <i x="46" nd="1"/>
        <i x="37" nd="1"/>
        <i x="61" nd="1"/>
        <i x="62" nd="1"/>
        <i x="35" nd="1"/>
        <i x="1" nd="1"/>
        <i x="43" nd="1"/>
        <i x="38" nd="1"/>
        <i x="42" nd="1"/>
        <i x="45" nd="1"/>
        <i x="41" nd="1"/>
        <i x="34" nd="1"/>
        <i x="40" nd="1"/>
        <i x="63" nd="1"/>
        <i x="64" nd="1"/>
        <i x="65" nd="1"/>
        <i x="66" nd="1"/>
        <i x="67" nd="1"/>
        <i x="68" nd="1"/>
        <i x="69" nd="1"/>
        <i x="70" nd="1"/>
        <i x="71" nd="1"/>
        <i x="72" nd="1"/>
        <i x="18" nd="1"/>
        <i x="73" nd="1"/>
        <i x="36" nd="1"/>
        <i x="19" nd="1"/>
        <i x="21" nd="1"/>
        <i x="22" nd="1"/>
        <i x="23" nd="1"/>
        <i x="24" nd="1"/>
        <i x="25" nd="1"/>
        <i x="26" nd="1"/>
        <i x="27" nd="1"/>
        <i x="28" nd="1"/>
        <i x="29" nd="1"/>
        <i x="30" nd="1"/>
        <i x="31" nd="1"/>
        <i x="32" nd="1"/>
        <i x="47" nd="1"/>
        <i x="48" nd="1"/>
        <i x="49" nd="1"/>
        <i x="50" nd="1"/>
        <i x="39" nd="1"/>
        <i x="51" nd="1"/>
        <i x="74" nd="1"/>
        <i x="75" nd="1"/>
        <i x="76" nd="1"/>
        <i x="77" nd="1"/>
        <i x="78" nd="1"/>
        <i x="79" nd="1"/>
        <i x="80" nd="1"/>
        <i x="10" nd="1"/>
        <i x="11" nd="1"/>
        <i x="3" nd="1"/>
        <i x="2" nd="1"/>
        <i x="4" nd="1"/>
        <i x="5" nd="1"/>
        <i x="6" nd="1"/>
        <i x="7" nd="1"/>
        <i x="8" nd="1"/>
        <i x="9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" xr10:uid="{0FA5177F-C439-408F-ADC0-B33FB6489ED0}" sourceName="Fecha">
  <pivotTables>
    <pivotTable tabId="37" name="TablaDinámica1"/>
  </pivotTables>
  <data>
    <tabular pivotCacheId="684357995">
      <items count="46">
        <i x="29"/>
        <i x="30"/>
        <i x="31"/>
        <i x="32"/>
        <i x="33" s="1"/>
        <i x="34"/>
        <i x="35"/>
        <i x="36"/>
        <i x="37"/>
        <i x="38" nd="1"/>
        <i x="0" nd="1"/>
        <i x="1" nd="1"/>
        <i x="45" nd="1"/>
        <i x="2" nd="1"/>
        <i x="3" nd="1"/>
        <i x="4" nd="1"/>
        <i x="39" nd="1"/>
        <i x="43" nd="1"/>
        <i x="5" nd="1"/>
        <i x="42" nd="1"/>
        <i x="44" nd="1"/>
        <i x="6" nd="1"/>
        <i x="41" nd="1"/>
        <i x="7" nd="1"/>
        <i x="8" nd="1"/>
        <i x="9" nd="1"/>
        <i x="10" nd="1"/>
        <i x="11" nd="1"/>
        <i x="12" nd="1"/>
        <i x="13" nd="1"/>
        <i x="14" nd="1"/>
        <i x="15" nd="1"/>
        <i x="16" nd="1"/>
        <i x="20" nd="1"/>
        <i x="21" nd="1"/>
        <i x="17" nd="1"/>
        <i x="22" nd="1"/>
        <i x="18" nd="1"/>
        <i x="19" nd="1"/>
        <i x="23" nd="1"/>
        <i x="24" nd="1"/>
        <i x="40" nd="1"/>
        <i x="25" nd="1"/>
        <i x="26" nd="1"/>
        <i x="27" nd="1"/>
        <i x="28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arca_Alimento" xr10:uid="{2DC31869-838A-45E3-9692-434346D0DA41}" sourceName="Marca Alimento">
  <pivotTables>
    <pivotTable tabId="37" name="TablaDinámica1"/>
  </pivotTables>
  <data>
    <tabular pivotCacheId="684357995">
      <items count="30">
        <i x="2" s="1"/>
        <i x="7" s="1" nd="1"/>
        <i x="26" s="1" nd="1"/>
        <i x="4" s="1" nd="1"/>
        <i x="0" s="1" nd="1"/>
        <i x="3" s="1" nd="1"/>
        <i x="5" s="1" nd="1"/>
        <i x="6" s="1" nd="1"/>
        <i x="29" s="1" nd="1"/>
        <i x="27" s="1" nd="1"/>
        <i x="15" s="1" nd="1"/>
        <i x="16" s="1" nd="1"/>
        <i x="17" s="1" nd="1"/>
        <i x="18" s="1" nd="1"/>
        <i x="19" s="1" nd="1"/>
        <i x="20" s="1" nd="1"/>
        <i x="21" s="1" nd="1"/>
        <i x="22" s="1" nd="1"/>
        <i x="23" s="1" nd="1"/>
        <i x="24" s="1" nd="1"/>
        <i x="28" s="1" nd="1"/>
        <i x="25" s="1" nd="1"/>
        <i x="8" s="1" nd="1"/>
        <i x="9" s="1" nd="1"/>
        <i x="10" s="1" nd="1"/>
        <i x="11" s="1" nd="1"/>
        <i x="12" s="1" nd="1"/>
        <i x="13" s="1" nd="1"/>
        <i x="14" s="1" nd="1"/>
        <i x="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sc 1" xr10:uid="{05404878-AE92-4DC0-A980-014418C4FE81}" cache="SegmentaciónDeDatos_Psc" caption="Psc" columnCount="3" rowHeight="234950"/>
  <slicer name="Fecha 1" xr10:uid="{FE6322AE-98AE-4F46-9A60-0C2E9C45ACE1}" cache="SegmentaciónDeDatos_Fecha" caption="Fecha" columnCount="4" rowHeight="234950"/>
  <slicer name="Marca Alimento" xr10:uid="{655BEB80-C61B-4873-8579-5F2D1DD2F781}" cache="SegmentaciónDeDatos_Marca_Alimento" caption="Marca Alimento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25613D-F21A-42B4-BA6A-62DDBE8B394B}" name="Tabla14" displayName="Tabla14" ref="A2:BF27" totalsRowShown="0" headerRowDxfId="85" headerRowBorderDxfId="84" tableBorderDxfId="83" totalsRowBorderDxfId="82">
  <autoFilter ref="A2:BF27" xr:uid="{22606709-40AB-4DDB-AF53-3E98D586E2B9}"/>
  <tableColumns count="58">
    <tableColumn id="1" xr3:uid="{0AE54DA4-CAC1-4E1B-84DF-A63FDAFC7FFF}" name="Psc" dataDxfId="81"/>
    <tableColumn id="37" xr3:uid="{50E341FF-A2A2-4920-930D-CCA0E572E043}" name="Marca Alimento" dataDxfId="80"/>
    <tableColumn id="3" xr3:uid="{EAE32337-DB29-4C67-A51B-8BB59EDA3DF0}" name="Ha" dataDxfId="79"/>
    <tableColumn id="4" xr3:uid="{82AC1FF3-FE74-4ED0-B23A-1EC170D8CAB3}" name="Siembra" dataDxfId="78"/>
    <tableColumn id="5" xr3:uid="{C107AFD5-02FC-422C-B1D1-816CA4081B90}" name="Fecha" dataDxfId="77"/>
    <tableColumn id="6" xr3:uid="{CFE1044A-8029-4FA5-AD75-F6A2E5D2348A}" name="Días" dataDxfId="76">
      <calculatedColumnFormula>Tabla14[[#This Row],[Fecha]]-Tabla14[[#This Row],[Siembra]]</calculatedColumnFormula>
    </tableColumn>
    <tableColumn id="7" xr3:uid="{15F224B2-B9E3-481C-A4BF-2886915778AD}" name="%Diferencia  Alimentación Actual&amp;Teórica" dataDxfId="75">
      <calculatedColumnFormula>IFERROR((((Tabla14[[#This Row],[Kg Alimento diario ]]-Tabla14[[#This Row],[Kg Alimento Sugerido]])/(Tabla14[[#This Row],[Kg Alimento Sugerido]])*100)),"")</calculatedColumnFormula>
    </tableColumn>
    <tableColumn id="2" xr3:uid="{1DB2D057-CCA1-45EC-8035-29921B05BFD4}" name="Kg/ semanal" dataDxfId="74"/>
    <tableColumn id="10" xr3:uid="{DCA2EEF9-53B3-49C4-935F-08371191253B}" name="Bal Acumulado" dataDxfId="73">
      <calculatedColumnFormula>IFERROR(
   IF(OFFSET(Tabla14[[#This Row],[Psc]],-1,0)=Tabla14[[#This Row],[Psc]],
      OFFSET(Tabla14[[#This Row],[Bal Acumulado]],-1,0)+Tabla14[[#This Row],[Kg/ semanal]],
      Tabla14[[#This Row],[Kg/ semanal]]
   ),
   Tabla14[[#This Row],[Kg/ semanal]]
)</calculatedColumnFormula>
    </tableColumn>
    <tableColumn id="38" xr3:uid="{34E9D33C-1403-4297-9A19-314889C694A5}" name="Fca" dataDxfId="72">
      <calculatedColumnFormula>IFERROR(((Tabla14[[#This Row],[Bal Acumulado]]*2.2046/Tabla14[[#This Row],[Ha]])/L3),"")</calculatedColumnFormula>
    </tableColumn>
    <tableColumn id="51" xr3:uid="{EA457D43-8305-4EE6-8555-A0094A4B2F71}" name="Lbs/ha      sin Raleo" dataDxfId="71">
      <calculatedColumnFormula>Tabla14[[#This Row],[Animales vivos reportados]]*Tabla14[[#This Row],[Peso Actual]]/454/Tabla14[[#This Row],[Ha]]</calculatedColumnFormula>
    </tableColumn>
    <tableColumn id="42" xr3:uid="{A18615E9-5AB6-4E8D-924F-7FFC0C29AF90}" name="Lbs/ha+Raleo" dataDxfId="70">
      <calculatedColumnFormula>Tabla14[[#This Row],[Animales vivos reportados]]*Tabla14[[#This Row],[Peso Actual]]/454/Tabla14[[#This Row],[Ha]]+O1</calculatedColumnFormula>
    </tableColumn>
    <tableColumn id="26" xr3:uid="{28775F81-9DA1-4C13-84FF-C5C9A59EDB49}" name="Raleo/total" dataDxfId="69"/>
    <tableColumn id="27" xr3:uid="{C67E46F5-12FE-41C0-9375-FEEA5A975EE4}" name="Gr/Raleo" dataDxfId="68"/>
    <tableColumn id="25" xr3:uid="{A7B35FC5-4E9E-4660-82C8-4C1E08D5B20E}" name="Raleo/lb/ha" dataDxfId="67">
      <calculatedColumnFormula>Tabla14[[#This Row],[Raleo/total]]/Tabla14[[#This Row],[Ha]]</calculatedColumnFormula>
    </tableColumn>
    <tableColumn id="11" xr3:uid="{C9570472-9268-4587-9C75-6F8C2AEBEA63}" name="Kg/Ha Actual" dataDxfId="66">
      <calculatedColumnFormula>IFERROR(Tabla14[[#This Row],[Kg Alimento diario ]]/Tabla14[[#This Row],[Ha]],"")</calculatedColumnFormula>
    </tableColumn>
    <tableColumn id="8" xr3:uid="{0EA39339-BE11-4F75-BD81-DF7B6EF890E6}" name="Kg/ 100mil" dataDxfId="65">
      <calculatedColumnFormula>IFERROR((Tabla14[[#This Row],[Kg Alimento diario ]])/(Tabla14[[#This Row],[Animales vivos reportados]]/100000),"")</calculatedColumnFormula>
    </tableColumn>
    <tableColumn id="52" xr3:uid="{31C2C904-A40F-4C88-B75F-152AE023B450}" name="Dias alimentados" dataDxfId="64"/>
    <tableColumn id="12" xr3:uid="{052BD967-56ED-4B57-86F6-30A2C3F0C49F}" name="Kg Alimento diario " dataDxfId="63">
      <calculatedColumnFormula>Tabla14[[#This Row],[Kg/ semanal]]/Tabla14[[#This Row],[Dias alimentados]]</calculatedColumnFormula>
    </tableColumn>
    <tableColumn id="13" xr3:uid="{7B5B3C19-3E65-4330-B275-87049DAE0424}" name="Kg/Ha Sugerido" dataDxfId="62">
      <calculatedColumnFormula>Tabla14[[#This Row],[Kg Alimento Sugerido]]/Tabla14[[#This Row],[Ha]]</calculatedColumnFormula>
    </tableColumn>
    <tableColumn id="14" xr3:uid="{ACA6A55D-D639-4123-8245-EA763B1A31BC}" name="Kg Alimento Sugerido" dataDxfId="61"/>
    <tableColumn id="47" xr3:uid="{6A92F3DD-5E68-40C1-9950-FD90D913F642}" name="Kg Minimo" dataDxfId="60"/>
    <tableColumn id="45" xr3:uid="{AEE929FD-DAB1-40A3-95B7-D074955EC330}" name="Kg/Ha min" dataDxfId="59">
      <calculatedColumnFormula>Tabla14[[#This Row],[Kg Minimo]]/Tabla14[[#This Row],[Ha]]</calculatedColumnFormula>
    </tableColumn>
    <tableColumn id="15" xr3:uid="{3DAC5E64-E622-4866-AFC1-92E7251644CF}" name="Peso Actual" dataDxfId="58"/>
    <tableColumn id="16" xr3:uid="{585A9CF4-6D4F-4411-BA04-1F93E333B87E}" name="BW   Actual" dataDxfId="57">
      <calculatedColumnFormula>IFERROR(Tabla14[[#This Row],[Kg Alimento diario ]]/(Tabla14[[#This Row],[Peso Actual]]/1000*Tabla14[[#This Row],[Animales vivos reportados]]),"")</calculatedColumnFormula>
    </tableColumn>
    <tableColumn id="17" xr3:uid="{28626981-F96B-4522-9ABF-DA9A31B08457}" name="BW Sugerida" dataDxfId="56">
      <calculatedColumnFormula>IFERROR(IF($Z$1="NormalCalor",
     VLOOKUP(Tabla14[[#This Row],[Peso Actual]], Tabla!$A$4:$C$76, 2, TRUE)/100,
     VLOOKUP(Tabla14[[#This Row],[Peso Actual]], Tabla!$A$4:$C$76, 3, TRUE)/100),
"")</calculatedColumnFormula>
    </tableColumn>
    <tableColumn id="44" xr3:uid="{60F92E12-0A1F-41C7-9127-49F51433727A}" name="BW(min)" dataDxfId="55">
      <calculatedColumnFormula>IFERROR(IF($AA$1="MinFrio",VLOOKUP(Tabla14[[#This Row],[Peso Actual]],Tabla!$F$3:$H$482,3,1),VLOOKUP(Tabla14[[#This Row],[Peso Actual]],Tabla!$F$3:$H$482,2,1)),"")</calculatedColumnFormula>
    </tableColumn>
    <tableColumn id="23" xr3:uid="{4CD7FF5D-9686-4DA1-AE78-EF9BCEF5E670}" name="Biomasa_x000a_Lb/Ha bajo sugerencia" dataDxfId="54">
      <calculatedColumnFormula>+Tabla14[[#This Row],[Biomasa de camaron  ]]/Tabla14[[#This Row],[Ha]]*2.2</calculatedColumnFormula>
    </tableColumn>
    <tableColumn id="18" xr3:uid="{A23E93B8-B696-4AEC-81BA-9804412EDBD9}" name="Biomasa de camaron  " dataDxfId="53">
      <calculatedColumnFormula>U3/Z3</calculatedColumnFormula>
    </tableColumn>
    <tableColumn id="46" xr3:uid="{B12CF3F6-4BDD-4F24-94A0-5DC1D30440E7}" name="Biomasa de camaron  2" dataDxfId="52">
      <calculatedColumnFormula>V3/AA3</calculatedColumnFormula>
    </tableColumn>
    <tableColumn id="35" xr3:uid="{1C2CF0FC-8669-4499-BAA2-62B86008A07A}" name="Biomasa_x000a_Lb/Ha bajo reportado" dataDxfId="51">
      <calculatedColumnFormula>+Tabla14[[#This Row],[Biomasa de Camaron bajo reportado]]*2.2</calculatedColumnFormula>
    </tableColumn>
    <tableColumn id="34" xr3:uid="{A28BB8A9-D143-4DF1-9F36-3CB2EFED11D6}" name="Biomasa de Camaron bajo reportado" dataDxfId="50">
      <calculatedColumnFormula>+(Tabla14[[#This Row],[Sobrevivencia total  en finca]]/100)*Tabla14[[#This Row],[Animales vivos reportados]]*Tabla14[[#This Row],[Peso Actual]]/1000</calculatedColumnFormula>
    </tableColumn>
    <tableColumn id="33" xr3:uid="{CDAAD7EC-C444-41A8-87F4-BE633CE95A2A}" name="Biomasa/Ha Camaron Alimentación Actual" dataDxfId="49">
      <calculatedColumnFormula>+Tabla14[[#This Row],[Biomasa de camaron alimentacion actual]]/Tabla14[[#This Row],[Ha]]*2.2</calculatedColumnFormula>
    </tableColumn>
    <tableColumn id="19" xr3:uid="{66132217-D101-4D01-8C25-1D7E885C77CD}" name="Biomasa de camaron alimentacion actual" dataDxfId="48">
      <calculatedColumnFormula>(Tabla14[[#This Row],[Kg Alimento diario ]]/Tabla14[[#This Row],[BW Sugerida]])</calculatedColumnFormula>
    </tableColumn>
    <tableColumn id="48" xr3:uid="{A5A65880-E357-4A57-97D1-20ECFBD57642}" name="Biomasa de camaron alimentacion 2" dataDxfId="47">
      <calculatedColumnFormula>(Tabla14[[#This Row],[Kg Minimo]]/Tabla14[[#This Row],[BW(min)]])</calculatedColumnFormula>
    </tableColumn>
    <tableColumn id="20" xr3:uid="{3D60413D-0CBF-4073-ABBC-45BD226004DF}" name="Animales Sembrados" dataDxfId="46">
      <calculatedColumnFormula>Tabla14[[#This Row],[Densidad/ha]]*Tabla14[[#This Row],[Ha]]</calculatedColumnFormula>
    </tableColumn>
    <tableColumn id="21" xr3:uid="{D5C38FF1-977D-4FA1-B41A-BF0FB4F12921}" name="Densidad/ha" dataDxfId="45"/>
    <tableColumn id="22" xr3:uid="{91D8AFAC-DC34-43FF-A846-A863B91A09EB}" name="Animales vivos reportados" dataDxfId="44">
      <calculatedColumnFormula>Tabla14[[#This Row],[Animales Sembrados]]*Tabla14[[#This Row],[Sobrevivencia total  en finca]]/100</calculatedColumnFormula>
    </tableColumn>
    <tableColumn id="9" xr3:uid="{82A2252F-22BE-48DA-B5E0-097014987829}" name="Biomasa Lbs/Ha" dataDxfId="43">
      <calculatedColumnFormula>Tabla14[[#This Row],[Animales vivos reportados]]*Tabla14[[#This Row],[Peso Actual]]/454/Tabla14[[#This Row],[Ha]]</calculatedColumnFormula>
    </tableColumn>
    <tableColumn id="24" xr3:uid="{2A36BAE9-B129-4C1D-A81D-2793E35514C7}" name="Animales según alimentación sugerida" dataDxfId="42">
      <calculatedColumnFormula xml:space="preserve"> IFERROR(
(Tabla14[[#This Row],[Biomasa de camaron  ]]*1000/Tabla14[[#This Row],[Peso Actual]]),"")</calculatedColumnFormula>
    </tableColumn>
    <tableColumn id="32" xr3:uid="{204D507B-711B-481B-8CC8-37A2085CA77B}" name="Animales según alimentación actual" dataDxfId="41">
      <calculatedColumnFormula>IFERROR(((Tabla14[[#This Row],[Biomasa de camaron alimentacion actual]]*1000)/Tabla14[[#This Row],[Peso Actual]]),"")</calculatedColumnFormula>
    </tableColumn>
    <tableColumn id="43" xr3:uid="{E0E6FC63-017E-44C1-8425-285DCEAF5D64}" name="Animales según tabla 2(Min)" dataDxfId="40">
      <calculatedColumnFormula>IFERROR( (
(Tabla14[[#This Row],[Biomasa de camaron alimentacion 2]]*1000)/Tabla14[[#This Row],[Peso Actual]]),"")</calculatedColumnFormula>
    </tableColumn>
    <tableColumn id="49" xr3:uid="{2C2756AA-E564-4209-8DE0-68B0BE9DC769}" name="#AA" dataDxfId="39"/>
    <tableColumn id="50" xr3:uid="{B9DD3DF5-E73A-44EB-B015-279D1C5F5F29}" name="AnimalesAA" dataDxfId="38">
      <calculatedColumnFormula>IFERROR(Tabla14[[#This Row],[Animales vivos reportados]]/Tabla14[[#This Row],['#AA]],"")</calculatedColumnFormula>
    </tableColumn>
    <tableColumn id="31" xr3:uid="{655621F6-EB53-4850-B328-13FA0F313842}" name="Kg/AA" dataDxfId="37">
      <calculatedColumnFormula>IFERROR(((Tabla14[[#This Row],[Lbs/ha      sin Raleo]]*Tabla14[[#This Row],[Ha]])/Tabla14[[#This Row],['#AA]])/2.2046,"")</calculatedColumnFormula>
    </tableColumn>
    <tableColumn id="57" xr3:uid="{6EA4D13E-1EA8-4F24-8230-727A8ADE1227}" name="#AR" dataDxfId="36" dataCellStyle="Millares"/>
    <tableColumn id="56" xr3:uid="{A4A1770D-9D66-4D10-B551-9685489A9D84}" name="Hp/AR" dataDxfId="35" dataCellStyle="Millares"/>
    <tableColumn id="55" xr3:uid="{931D4CFC-7373-4D9F-899F-5313BA2C6605}" name="%Efi AR" dataDxfId="34" dataCellStyle="Millares"/>
    <tableColumn id="54" xr3:uid="{C6B4D71B-9E99-42E2-90F6-D8ABDF46EBC7}" name="Hp/Efi" dataDxfId="33" dataCellStyle="Millares">
      <calculatedColumnFormula>Tabla14[[#This Row],[Hp/AR]]*Tabla14[[#This Row],[%Efi AR]]</calculatedColumnFormula>
    </tableColumn>
    <tableColumn id="58" xr3:uid="{FA78E0BC-5643-421E-8BEA-1EAFC408FBC7}" name="Total hp/AR" dataDxfId="32" dataCellStyle="Millares">
      <calculatedColumnFormula>Tabla14[[#This Row],[Hp/Efi]]*Tabla14[[#This Row],['#AR]]</calculatedColumnFormula>
    </tableColumn>
    <tableColumn id="53" xr3:uid="{190C77A4-5189-4BB3-99B7-320EE65086F0}" name="Hp/ha" dataDxfId="31" dataCellStyle="Millares">
      <calculatedColumnFormula>Tabla14[[#This Row],[Total hp/AR]]/Tabla14[[#This Row],[Ha]]</calculatedColumnFormula>
    </tableColumn>
    <tableColumn id="28" xr3:uid="{A0D031E4-821A-472E-A147-097AC401F6C5}" name="Incremento actual" dataDxfId="30"/>
    <tableColumn id="41" xr3:uid="{78E4DFDF-0472-45E3-BACC-91132A8C7CF7}" name="Incremento teorico" dataDxfId="29"/>
    <tableColumn id="29" xr3:uid="{506DED07-8359-4552-B9EE-8E42DF948C9D}" name="Sobrevivencia total  en finca" dataDxfId="28"/>
    <tableColumn id="40" xr3:uid="{7AD0F5D2-53CE-4E99-9307-46F871331F03}" name="CXMT ACTUAL" dataDxfId="27">
      <calculatedColumnFormula>IFERROR(Tabla14[[#This Row],[Animales vivos reportados]]/Tabla14[[#This Row],[Ha]]/10000,"")</calculatedColumnFormula>
    </tableColumn>
    <tableColumn id="39" xr3:uid="{AB2C2C10-AC0E-4B36-8108-62AA7C0076E0}" name="Sobrevivencia actual en agua" dataDxfId="26">
      <calculatedColumnFormula>IFERROR((Tabla14[[#This Row],[CXMT ACTUAL]]*10000*Tabla14[[#This Row],[Ha]])/Tabla14[[#This Row],[Animales Sembrados]],"")</calculatedColumnFormula>
    </tableColumn>
    <tableColumn id="36" xr3:uid="{7A05B599-7399-4E7D-9DBA-714B4F42C427}" name="sobrevivencia actual por consumo " dataDxfId="25">
      <calculatedColumnFormula>IFERROR( Tabla14[[#This Row],[Animales según alimentación actual]]/(Tabla14[[#This Row],[Densidad/ha]]*Tabla14[[#This Row],[Ha]]),"")</calculatedColumnFormula>
    </tableColumn>
    <tableColumn id="30" xr3:uid="{0E4EB384-D9D4-457A-8A00-0B2AB05D8F9C}" name="Observación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AB3A84-60AB-4B98-8A6E-58E9AEDACEDD}" name="Tabla2" displayName="Tabla2" ref="F2:H422" totalsRowShown="0" headerRowDxfId="11" dataDxfId="10">
  <tableColumns count="3">
    <tableColumn id="1" xr3:uid="{7AA2B06A-F1A4-442E-882E-3429C69C1AA2}" name="Pesos" dataDxfId="9"/>
    <tableColumn id="5" xr3:uid="{B3D8742C-2E6F-4F76-B277-10349FF65A4B}" name="BW FULL - CALOR" dataDxfId="8"/>
    <tableColumn id="2" xr3:uid="{70B18F1E-846E-4A58-AE8E-39E89658C9ED}" name="BW FULL - FRIO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3D1D9-0202-4F69-9B9D-9172C2F96478}">
  <dimension ref="A1:BG27"/>
  <sheetViews>
    <sheetView tabSelected="1" zoomScale="80" zoomScaleNormal="80" workbookViewId="0">
      <pane xSplit="7" ySplit="2" topLeftCell="AL3" activePane="bottomRight" state="frozen"/>
      <selection pane="topRight" activeCell="H1" sqref="H1"/>
      <selection pane="bottomLeft" activeCell="A3" sqref="A3"/>
      <selection pane="bottomRight" activeCell="AU1" sqref="AU1:AW1"/>
    </sheetView>
  </sheetViews>
  <sheetFormatPr baseColWidth="10" defaultColWidth="9.453125" defaultRowHeight="14.5" outlineLevelCol="1" x14ac:dyDescent="0.35"/>
  <cols>
    <col min="1" max="1" width="13.453125" style="3" customWidth="1"/>
    <col min="2" max="2" width="11.36328125" customWidth="1"/>
    <col min="3" max="3" width="5.453125" style="3" customWidth="1"/>
    <col min="4" max="4" width="11.26953125" customWidth="1"/>
    <col min="5" max="5" width="12.26953125" customWidth="1"/>
    <col min="6" max="6" width="6.26953125" customWidth="1"/>
    <col min="7" max="7" width="14.26953125" customWidth="1"/>
    <col min="8" max="8" width="8.453125" customWidth="1"/>
    <col min="9" max="9" width="11.54296875" customWidth="1" outlineLevel="1"/>
    <col min="10" max="10" width="8.26953125" customWidth="1"/>
    <col min="11" max="11" width="10.7265625" customWidth="1" outlineLevel="1"/>
    <col min="12" max="12" width="12.7265625" customWidth="1" outlineLevel="1"/>
    <col min="13" max="13" width="11.54296875" customWidth="1" outlineLevel="1"/>
    <col min="14" max="14" width="10.7265625" customWidth="1" outlineLevel="1"/>
    <col min="15" max="15" width="12.26953125" customWidth="1" outlineLevel="1"/>
    <col min="16" max="16" width="9.1796875" customWidth="1"/>
    <col min="17" max="17" width="12.26953125" bestFit="1" customWidth="1"/>
    <col min="18" max="18" width="12.26953125" customWidth="1"/>
    <col min="19" max="19" width="9" style="3" customWidth="1"/>
    <col min="20" max="20" width="9.453125" customWidth="1"/>
    <col min="21" max="21" width="9.453125" style="2" customWidth="1"/>
    <col min="22" max="22" width="8.26953125" style="2" customWidth="1"/>
    <col min="23" max="23" width="7.26953125" style="2" customWidth="1"/>
    <col min="24" max="24" width="7.7265625" style="3" customWidth="1"/>
    <col min="25" max="25" width="8.26953125" customWidth="1"/>
    <col min="26" max="26" width="8.90625" customWidth="1"/>
    <col min="27" max="27" width="10.453125" customWidth="1"/>
    <col min="28" max="28" width="12.7265625" hidden="1" customWidth="1" outlineLevel="1"/>
    <col min="29" max="30" width="10.26953125" hidden="1" customWidth="1" outlineLevel="1"/>
    <col min="31" max="31" width="15.453125" hidden="1" customWidth="1" outlineLevel="1"/>
    <col min="32" max="32" width="17.26953125" hidden="1" customWidth="1" outlineLevel="1"/>
    <col min="33" max="33" width="22.26953125" hidden="1" customWidth="1" outlineLevel="1"/>
    <col min="34" max="35" width="21.7265625" hidden="1" customWidth="1" outlineLevel="1"/>
    <col min="36" max="36" width="11" style="2" customWidth="1" collapsed="1"/>
    <col min="37" max="37" width="9.7265625" style="3" customWidth="1"/>
    <col min="38" max="38" width="10.54296875" customWidth="1"/>
    <col min="39" max="39" width="10.54296875" hidden="1" customWidth="1" outlineLevel="1"/>
    <col min="40" max="40" width="12" customWidth="1" collapsed="1"/>
    <col min="41" max="41" width="13.26953125" customWidth="1"/>
    <col min="42" max="42" width="11.453125" customWidth="1"/>
    <col min="43" max="43" width="5.453125" style="3" customWidth="1"/>
    <col min="44" max="44" width="12.26953125" style="94" customWidth="1"/>
    <col min="45" max="45" width="12.7265625" style="94" customWidth="1"/>
    <col min="46" max="46" width="6.54296875" style="109" customWidth="1"/>
    <col min="47" max="47" width="9.54296875" style="109" customWidth="1"/>
    <col min="48" max="48" width="9.08984375" style="109" customWidth="1"/>
    <col min="49" max="49" width="10.08984375" style="109" customWidth="1"/>
    <col min="50" max="50" width="9.6328125" style="109" customWidth="1"/>
    <col min="51" max="51" width="8.26953125" style="109" customWidth="1"/>
    <col min="52" max="52" width="10.7265625" style="3" customWidth="1"/>
    <col min="53" max="53" width="15.54296875" style="3" hidden="1" customWidth="1" outlineLevel="1"/>
    <col min="54" max="54" width="13.54296875" style="1" customWidth="1" collapsed="1"/>
    <col min="55" max="55" width="8.453125" style="1" customWidth="1"/>
    <col min="56" max="56" width="13.453125" style="19" hidden="1" customWidth="1" outlineLevel="1"/>
    <col min="57" max="57" width="13" style="19" customWidth="1" collapsed="1"/>
    <col min="58" max="58" width="74.54296875" bestFit="1" customWidth="1"/>
  </cols>
  <sheetData>
    <row r="1" spans="1:59" ht="47.9" customHeight="1" thickBot="1" x14ac:dyDescent="0.4">
      <c r="A1" s="86">
        <v>46021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8" t="s">
        <v>0</v>
      </c>
      <c r="AA1" s="98" t="s">
        <v>1</v>
      </c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7">
        <v>400000</v>
      </c>
      <c r="AS1" s="97">
        <v>5000</v>
      </c>
      <c r="AT1" s="108"/>
      <c r="AU1" s="108"/>
      <c r="AV1" s="108"/>
      <c r="AW1" s="108"/>
      <c r="AX1" s="108"/>
      <c r="AY1" s="108"/>
      <c r="AZ1" s="95"/>
      <c r="BA1" s="95"/>
      <c r="BB1" s="95"/>
      <c r="BC1" s="95"/>
      <c r="BD1" s="95"/>
      <c r="BE1" s="95"/>
      <c r="BF1" s="96"/>
      <c r="BG1" s="5"/>
    </row>
    <row r="2" spans="1:59" s="8" customFormat="1" ht="57" customHeight="1" thickBot="1" x14ac:dyDescent="0.4">
      <c r="A2" s="43" t="s">
        <v>2</v>
      </c>
      <c r="B2" s="44" t="s">
        <v>3</v>
      </c>
      <c r="C2" s="50" t="s">
        <v>4</v>
      </c>
      <c r="D2" s="44" t="s">
        <v>5</v>
      </c>
      <c r="E2" s="11" t="s">
        <v>6</v>
      </c>
      <c r="F2" s="49" t="s">
        <v>7</v>
      </c>
      <c r="G2" s="50" t="s">
        <v>8</v>
      </c>
      <c r="H2" s="51" t="s">
        <v>9</v>
      </c>
      <c r="I2" s="51" t="s">
        <v>10</v>
      </c>
      <c r="J2" s="51" t="s">
        <v>11</v>
      </c>
      <c r="K2" s="51" t="s">
        <v>12</v>
      </c>
      <c r="L2" s="51" t="s">
        <v>13</v>
      </c>
      <c r="M2" s="51" t="s">
        <v>14</v>
      </c>
      <c r="N2" s="51" t="s">
        <v>15</v>
      </c>
      <c r="O2" s="51" t="s">
        <v>16</v>
      </c>
      <c r="P2" s="49" t="s">
        <v>17</v>
      </c>
      <c r="Q2" s="51" t="s">
        <v>18</v>
      </c>
      <c r="R2" s="51" t="s">
        <v>88</v>
      </c>
      <c r="S2" s="51" t="s">
        <v>19</v>
      </c>
      <c r="T2" s="52" t="s">
        <v>20</v>
      </c>
      <c r="U2" s="45" t="s">
        <v>21</v>
      </c>
      <c r="V2" s="67" t="s">
        <v>22</v>
      </c>
      <c r="W2" s="67" t="s">
        <v>23</v>
      </c>
      <c r="X2" s="51" t="s">
        <v>24</v>
      </c>
      <c r="Y2" s="53" t="s">
        <v>25</v>
      </c>
      <c r="Z2" s="54" t="s">
        <v>26</v>
      </c>
      <c r="AA2" s="67" t="s">
        <v>27</v>
      </c>
      <c r="AB2" s="46" t="s">
        <v>28</v>
      </c>
      <c r="AC2" s="10" t="s">
        <v>29</v>
      </c>
      <c r="AD2" s="10" t="s">
        <v>30</v>
      </c>
      <c r="AE2" s="9" t="s">
        <v>31</v>
      </c>
      <c r="AF2" s="9" t="s">
        <v>32</v>
      </c>
      <c r="AG2" s="11" t="s">
        <v>33</v>
      </c>
      <c r="AH2" s="43" t="s">
        <v>34</v>
      </c>
      <c r="AI2" s="66" t="s">
        <v>35</v>
      </c>
      <c r="AJ2" s="55" t="s">
        <v>36</v>
      </c>
      <c r="AK2" s="47" t="s">
        <v>37</v>
      </c>
      <c r="AL2" s="56" t="s">
        <v>38</v>
      </c>
      <c r="AM2" s="53" t="s">
        <v>39</v>
      </c>
      <c r="AN2" s="57" t="s">
        <v>40</v>
      </c>
      <c r="AO2" s="50" t="s">
        <v>41</v>
      </c>
      <c r="AP2" s="67" t="s">
        <v>42</v>
      </c>
      <c r="AQ2" s="71" t="s">
        <v>43</v>
      </c>
      <c r="AR2" s="92" t="s">
        <v>44</v>
      </c>
      <c r="AS2" s="92" t="s">
        <v>45</v>
      </c>
      <c r="AT2" s="71" t="s">
        <v>92</v>
      </c>
      <c r="AU2" s="71" t="s">
        <v>93</v>
      </c>
      <c r="AV2" s="71" t="s">
        <v>89</v>
      </c>
      <c r="AW2" s="71" t="s">
        <v>90</v>
      </c>
      <c r="AX2" s="71" t="s">
        <v>91</v>
      </c>
      <c r="AY2" s="92" t="s">
        <v>94</v>
      </c>
      <c r="AZ2" s="56" t="s">
        <v>46</v>
      </c>
      <c r="BA2" s="53" t="s">
        <v>47</v>
      </c>
      <c r="BB2" s="58" t="s">
        <v>48</v>
      </c>
      <c r="BC2" s="48" t="s">
        <v>49</v>
      </c>
      <c r="BD2" s="90" t="s">
        <v>50</v>
      </c>
      <c r="BE2" s="59" t="s">
        <v>51</v>
      </c>
      <c r="BF2" s="48" t="s">
        <v>52</v>
      </c>
      <c r="BG2" s="7"/>
    </row>
    <row r="3" spans="1:59" x14ac:dyDescent="0.35">
      <c r="A3" s="18">
        <v>717</v>
      </c>
      <c r="B3" s="110" t="s">
        <v>95</v>
      </c>
      <c r="C3" s="17">
        <v>3.4</v>
      </c>
      <c r="D3" s="83">
        <v>46178</v>
      </c>
      <c r="E3" s="83">
        <v>46178</v>
      </c>
      <c r="F3" s="12">
        <f>Tabla14[[#This Row],[Fecha]]-Tabla14[[#This Row],[Siembra]]</f>
        <v>0</v>
      </c>
      <c r="G3" s="30">
        <f>IFERROR((((Tabla14[[#This Row],[Kg Alimento diario ]]-Tabla14[[#This Row],[Kg Alimento Sugerido]])/(Tabla14[[#This Row],[Kg Alimento Sugerido]])*100)),"")</f>
        <v>-14.28571428571429</v>
      </c>
      <c r="H3" s="64">
        <v>600</v>
      </c>
      <c r="I3" s="103">
        <f ca="1">IFERROR(
   IF(OFFSET(Tabla14[[#This Row],[Psc]],-1,0)=Tabla14[[#This Row],[Psc]],
      OFFSET(Tabla14[[#This Row],[Bal Acumulado]],-1,0)+Tabla14[[#This Row],[Kg/ semanal]],
      Tabla14[[#This Row],[Kg/ semanal]]
   ),
   Tabla14[[#This Row],[Kg/ semanal]]
)</f>
        <v>600</v>
      </c>
      <c r="J3" s="38">
        <f ca="1">IFERROR(((Tabla14[[#This Row],[Bal Acumulado]]*2.2046/Tabla14[[#This Row],[Ha]])/L3),"")</f>
        <v>1.659189553289518</v>
      </c>
      <c r="K3" s="68">
        <f>Tabla14[[#This Row],[Animales vivos reportados]]*Tabla14[[#This Row],[Peso Actual]]/454/Tabla14[[#This Row],[Ha]]</f>
        <v>233.48017621145377</v>
      </c>
      <c r="L3" s="68">
        <f>Tabla14[[#This Row],[Animales vivos reportados]]*Tabla14[[#This Row],[Peso Actual]]/454/Tabla14[[#This Row],[Ha]]+1</f>
        <v>234.48017621145377</v>
      </c>
      <c r="M3" s="68"/>
      <c r="N3" s="68"/>
      <c r="O3" s="68">
        <f>Tabla14[[#This Row],[Raleo/total]]/Tabla14[[#This Row],[Ha]]</f>
        <v>0</v>
      </c>
      <c r="P3" s="61">
        <f>IFERROR(Tabla14[[#This Row],[Kg Alimento diario ]]/Tabla14[[#This Row],[Ha]],"")</f>
        <v>25.210084033613445</v>
      </c>
      <c r="Q3" s="65">
        <f>IFERROR((Tabla14[[#This Row],[Kg Alimento diario ]])/(Tabla14[[#This Row],[Animales vivos reportados]]/100000),"")</f>
        <v>11.891549072459171</v>
      </c>
      <c r="R3" s="104">
        <v>7</v>
      </c>
      <c r="S3" s="89">
        <f>Tabla14[[#This Row],[Kg/ semanal]]/Tabla14[[#This Row],[Dias alimentados]]</f>
        <v>85.714285714285708</v>
      </c>
      <c r="T3" s="62">
        <f>Tabla14[[#This Row],[Kg Alimento Sugerido]]/Tabla14[[#This Row],[Ha]]</f>
        <v>29.411764705882355</v>
      </c>
      <c r="U3" s="63">
        <v>100</v>
      </c>
      <c r="V3" s="69">
        <v>80</v>
      </c>
      <c r="W3" s="69">
        <f>Tabla14[[#This Row],[Kg Minimo]]/Tabla14[[#This Row],[Ha]]</f>
        <v>23.529411764705884</v>
      </c>
      <c r="X3" s="84">
        <v>0.5</v>
      </c>
      <c r="Y3" s="14">
        <f>IFERROR(Tabla14[[#This Row],[Kg Alimento diario ]]/(Tabla14[[#This Row],[Peso Actual]]/1000*Tabla14[[#This Row],[Animales vivos reportados]]),"")</f>
        <v>0.23783098144918341</v>
      </c>
      <c r="Z3" s="6">
        <f>IFERROR(IF($Z$1="NormalCalor",
     VLOOKUP(Tabla14[[#This Row],[Peso Actual]], Tabla!$A$4:$C$76, 2, TRUE)/100,
     VLOOKUP(Tabla14[[#This Row],[Peso Actual]], Tabla!$A$4:$C$76, 3, TRUE)/100),
"")</f>
        <v>0.11</v>
      </c>
      <c r="AA3" s="40">
        <f>IFERROR(IF($AA$1="MinFrio",VLOOKUP(Tabla14[[#This Row],[Peso Actual]],Tabla!$F$3:$H$482,3,1),VLOOKUP(Tabla14[[#This Row],[Peso Actual]],Tabla!$F$3:$H$482,2,1)),"")</f>
        <v>9.6343049645218129E-2</v>
      </c>
      <c r="AB3" s="28">
        <f>+Tabla14[[#This Row],[Biomasa de camaron  ]]/Tabla14[[#This Row],[Ha]]*2.2</f>
        <v>588.23529411764707</v>
      </c>
      <c r="AC3" s="28">
        <f t="shared" ref="AC3:AD18" si="0">U3/Z3</f>
        <v>909.09090909090912</v>
      </c>
      <c r="AD3" s="41">
        <f t="shared" si="0"/>
        <v>830.36607513047204</v>
      </c>
      <c r="AE3" s="28">
        <f>+Tabla14[[#This Row],[Biomasa de Camaron bajo reportado]]*2.2</f>
        <v>634.30400000000009</v>
      </c>
      <c r="AF3" s="28">
        <f>+(Tabla14[[#This Row],[Sobrevivencia total  en finca]]/100)*Tabla14[[#This Row],[Animales vivos reportados]]*Tabla14[[#This Row],[Peso Actual]]/1000</f>
        <v>288.32</v>
      </c>
      <c r="AG3" s="28">
        <f>+Tabla14[[#This Row],[Biomasa de camaron alimentacion actual]]/Tabla14[[#This Row],[Ha]]*2.2</f>
        <v>504.20168067226894</v>
      </c>
      <c r="AH3" s="36">
        <f>(Tabla14[[#This Row],[Kg Alimento diario ]]/Tabla14[[#This Row],[BW Sugerida]])</f>
        <v>779.22077922077915</v>
      </c>
      <c r="AI3" s="85">
        <f>(Tabla14[[#This Row],[Kg Minimo]]/Tabla14[[#This Row],[BW(min)]])</f>
        <v>830.36607513047204</v>
      </c>
      <c r="AJ3" s="28">
        <f>Tabla14[[#This Row],[Densidad/ha]]*Tabla14[[#This Row],[Ha]]</f>
        <v>901000</v>
      </c>
      <c r="AK3" s="29">
        <v>265000</v>
      </c>
      <c r="AL3" s="31">
        <f>Tabla14[[#This Row],[Animales Sembrados]]*Tabla14[[#This Row],[Sobrevivencia total  en finca]]/100</f>
        <v>720800</v>
      </c>
      <c r="AM3" s="41">
        <f>Tabla14[[#This Row],[Animales vivos reportados]]*Tabla14[[#This Row],[Peso Actual]]/454/Tabla14[[#This Row],[Ha]]</f>
        <v>233.48017621145377</v>
      </c>
      <c r="AN3" s="28">
        <f xml:space="preserve"> IFERROR(
(Tabla14[[#This Row],[Biomasa de camaron  ]]*1000/Tabla14[[#This Row],[Peso Actual]]),"")</f>
        <v>1818181.8181818184</v>
      </c>
      <c r="AO3" s="13">
        <f>IFERROR(((Tabla14[[#This Row],[Biomasa de camaron alimentacion actual]]*1000)/Tabla14[[#This Row],[Peso Actual]]),"")</f>
        <v>1558441.5584415584</v>
      </c>
      <c r="AP3" s="42">
        <f>IFERROR( (
(Tabla14[[#This Row],[Biomasa de camaron alimentacion 2]]*1000)/Tabla14[[#This Row],[Peso Actual]]),"")</f>
        <v>1660732.1502609442</v>
      </c>
      <c r="AQ3" s="85">
        <v>5</v>
      </c>
      <c r="AR3" s="93">
        <f>IFERROR(Tabla14[[#This Row],[Animales vivos reportados]]/Tabla14[[#This Row],['#AA]],"")</f>
        <v>144160</v>
      </c>
      <c r="AS3" s="93">
        <f>IFERROR(((Tabla14[[#This Row],[Lbs/ha      sin Raleo]]*Tabla14[[#This Row],[Ha]])/Tabla14[[#This Row],['#AA]])/2.2046,"")</f>
        <v>72.016020966972931</v>
      </c>
      <c r="AT3" s="93">
        <v>14</v>
      </c>
      <c r="AU3" s="93">
        <v>16</v>
      </c>
      <c r="AV3" s="106">
        <v>0.6</v>
      </c>
      <c r="AW3" s="107">
        <f>Tabla14[[#This Row],[Hp/AR]]*Tabla14[[#This Row],[%Efi AR]]</f>
        <v>9.6</v>
      </c>
      <c r="AX3" s="107">
        <f>Tabla14[[#This Row],[Hp/Efi]]*Tabla14[[#This Row],['#AR]]</f>
        <v>134.4</v>
      </c>
      <c r="AY3" s="107">
        <f>Tabla14[[#This Row],[Total hp/AR]]/Tabla14[[#This Row],[Ha]]</f>
        <v>39.529411764705884</v>
      </c>
      <c r="AZ3" s="60"/>
      <c r="BA3" s="39"/>
      <c r="BB3" s="16">
        <v>80</v>
      </c>
      <c r="BC3" s="35">
        <f>IFERROR(Tabla14[[#This Row],[Animales vivos reportados]]/Tabla14[[#This Row],[Ha]]/10000,"")</f>
        <v>21.2</v>
      </c>
      <c r="BD3" s="91">
        <f>IFERROR((Tabla14[[#This Row],[CXMT ACTUAL]]*10000*Tabla14[[#This Row],[Ha]])/Tabla14[[#This Row],[Animales Sembrados]],"")</f>
        <v>0.8</v>
      </c>
      <c r="BE3" s="70">
        <f>IFERROR( Tabla14[[#This Row],[Animales según alimentación actual]]/(Tabla14[[#This Row],[Densidad/ha]]*Tabla14[[#This Row],[Ha]]),"")</f>
        <v>1.7296798650849705</v>
      </c>
      <c r="BF3" s="37"/>
    </row>
    <row r="4" spans="1:59" x14ac:dyDescent="0.35">
      <c r="A4" s="18">
        <v>716</v>
      </c>
      <c r="B4" s="110" t="s">
        <v>95</v>
      </c>
      <c r="C4" s="17">
        <v>4.3</v>
      </c>
      <c r="D4" s="83">
        <v>46178</v>
      </c>
      <c r="E4" s="83">
        <v>46178</v>
      </c>
      <c r="F4" s="12">
        <f>Tabla14[[#This Row],[Fecha]]-Tabla14[[#This Row],[Siembra]]</f>
        <v>0</v>
      </c>
      <c r="G4" s="30">
        <f>IFERROR((((Tabla14[[#This Row],[Kg Alimento diario ]]-Tabla14[[#This Row],[Kg Alimento Sugerido]])/(Tabla14[[#This Row],[Kg Alimento Sugerido]])*100)),"")</f>
        <v>7.1428571428571539</v>
      </c>
      <c r="H4" s="64">
        <v>1800</v>
      </c>
      <c r="I4" s="103">
        <f ca="1">IFERROR(
   IF(OFFSET(Tabla14[[#This Row],[Psc]],-1,0)=Tabla14[[#This Row],[Psc]],
      OFFSET(Tabla14[[#This Row],[Bal Acumulado]],-1,0)+Tabla14[[#This Row],[Kg/ semanal]],
      Tabla14[[#This Row],[Kg/ semanal]]
   ),
   Tabla14[[#This Row],[Kg/ semanal]]
)</f>
        <v>1800</v>
      </c>
      <c r="J4" s="38">
        <f ca="1">IFERROR(((Tabla14[[#This Row],[Bal Acumulado]]*2.2046/Tabla14[[#This Row],[Ha]])/L4),"")</f>
        <v>1.5152420166320097</v>
      </c>
      <c r="K4" s="68">
        <f>Tabla14[[#This Row],[Animales vivos reportados]]*Tabla14[[#This Row],[Peso Actual]]/454/Tabla14[[#This Row],[Ha]]</f>
        <v>607.04845814977978</v>
      </c>
      <c r="L4" s="68">
        <f>Tabla14[[#This Row],[Animales vivos reportados]]*Tabla14[[#This Row],[Peso Actual]]/454/Tabla14[[#This Row],[Ha]]+2</f>
        <v>609.04845814977978</v>
      </c>
      <c r="M4" s="68"/>
      <c r="N4" s="68"/>
      <c r="O4" s="68">
        <f>Tabla14[[#This Row],[Raleo/total]]/Tabla14[[#This Row],[Ha]]</f>
        <v>0</v>
      </c>
      <c r="P4" s="61">
        <f>IFERROR(Tabla14[[#This Row],[Kg Alimento diario ]]/Tabla14[[#This Row],[Ha]],"")</f>
        <v>59.800664451827252</v>
      </c>
      <c r="Q4" s="65">
        <f>IFERROR((Tabla14[[#This Row],[Kg Alimento diario ]])/(Tabla14[[#This Row],[Animales vivos reportados]]/100000),"")</f>
        <v>28.207860590484554</v>
      </c>
      <c r="R4" s="104">
        <v>7</v>
      </c>
      <c r="S4" s="89">
        <f>Tabla14[[#This Row],[Kg/ semanal]]/Tabla14[[#This Row],[Dias alimentados]]</f>
        <v>257.14285714285717</v>
      </c>
      <c r="T4" s="62">
        <f>Tabla14[[#This Row],[Kg Alimento Sugerido]]/Tabla14[[#This Row],[Ha]]</f>
        <v>55.813953488372093</v>
      </c>
      <c r="U4" s="63">
        <v>240</v>
      </c>
      <c r="V4" s="69">
        <v>215</v>
      </c>
      <c r="W4" s="69">
        <f>Tabla14[[#This Row],[Kg Minimo]]/Tabla14[[#This Row],[Ha]]</f>
        <v>50</v>
      </c>
      <c r="X4" s="84">
        <v>1.3</v>
      </c>
      <c r="Y4" s="14">
        <f>IFERROR(Tabla14[[#This Row],[Kg Alimento diario ]]/(Tabla14[[#This Row],[Peso Actual]]/1000*Tabla14[[#This Row],[Animales vivos reportados]]),"")</f>
        <v>0.21698354300372732</v>
      </c>
      <c r="Z4" s="6">
        <f>IFERROR(IF($Z$1="NormalCalor",
     VLOOKUP(Tabla14[[#This Row],[Peso Actual]], Tabla!$A$4:$C$76, 2, TRUE)/100,
     VLOOKUP(Tabla14[[#This Row],[Peso Actual]], Tabla!$A$4:$C$76, 3, TRUE)/100),
"")</f>
        <v>0.1</v>
      </c>
      <c r="AA4" s="40">
        <f>IFERROR(IF($AA$1="MinFrio",VLOOKUP(Tabla14[[#This Row],[Peso Actual]],Tabla!$F$3:$H$482,3,1),VLOOKUP(Tabla14[[#This Row],[Peso Actual]],Tabla!$F$3:$H$482,2,1)),"")</f>
        <v>8.4120945021223054E-2</v>
      </c>
      <c r="AB4" s="28">
        <f>+Tabla14[[#This Row],[Biomasa de camaron  ]]/Tabla14[[#This Row],[Ha]]*2.2</f>
        <v>1227.9069767441861</v>
      </c>
      <c r="AC4" s="28">
        <f t="shared" si="0"/>
        <v>2400</v>
      </c>
      <c r="AD4" s="41">
        <f t="shared" si="0"/>
        <v>2555.8438501345554</v>
      </c>
      <c r="AE4" s="28">
        <f>+Tabla14[[#This Row],[Biomasa de Camaron bajo reportado]]*2.2</f>
        <v>2085.7408</v>
      </c>
      <c r="AF4" s="28">
        <f>+(Tabla14[[#This Row],[Sobrevivencia total  en finca]]/100)*Tabla14[[#This Row],[Animales vivos reportados]]*Tabla14[[#This Row],[Peso Actual]]/1000</f>
        <v>948.06399999999996</v>
      </c>
      <c r="AG4" s="28">
        <f>+Tabla14[[#This Row],[Biomasa de camaron alimentacion actual]]/Tabla14[[#This Row],[Ha]]*2.2</f>
        <v>1315.6146179401994</v>
      </c>
      <c r="AH4" s="36">
        <f>(Tabla14[[#This Row],[Kg Alimento diario ]]/Tabla14[[#This Row],[BW Sugerida]])</f>
        <v>2571.4285714285716</v>
      </c>
      <c r="AI4" s="85">
        <f>(Tabla14[[#This Row],[Kg Minimo]]/Tabla14[[#This Row],[BW(min)]])</f>
        <v>2555.8438501345554</v>
      </c>
      <c r="AJ4" s="28">
        <f>Tabla14[[#This Row],[Densidad/ha]]*Tabla14[[#This Row],[Ha]]</f>
        <v>1139500</v>
      </c>
      <c r="AK4" s="29">
        <v>265000</v>
      </c>
      <c r="AL4" s="31">
        <f>Tabla14[[#This Row],[Animales Sembrados]]*Tabla14[[#This Row],[Sobrevivencia total  en finca]]/100</f>
        <v>911600</v>
      </c>
      <c r="AM4" s="41">
        <f>Tabla14[[#This Row],[Animales vivos reportados]]*Tabla14[[#This Row],[Peso Actual]]/454/Tabla14[[#This Row],[Ha]]</f>
        <v>607.04845814977978</v>
      </c>
      <c r="AN4" s="28">
        <f xml:space="preserve"> IFERROR(
(Tabla14[[#This Row],[Biomasa de camaron  ]]*1000/Tabla14[[#This Row],[Peso Actual]]),"")</f>
        <v>1846153.846153846</v>
      </c>
      <c r="AO4" s="13">
        <f>IFERROR(((Tabla14[[#This Row],[Biomasa de camaron alimentacion actual]]*1000)/Tabla14[[#This Row],[Peso Actual]]),"")</f>
        <v>1978021.9780219779</v>
      </c>
      <c r="AP4" s="42">
        <f>IFERROR( (
(Tabla14[[#This Row],[Biomasa de camaron alimentacion 2]]*1000)/Tabla14[[#This Row],[Peso Actual]]),"")</f>
        <v>1966033.7308727347</v>
      </c>
      <c r="AQ4" s="85">
        <v>5</v>
      </c>
      <c r="AR4" s="93">
        <f>IFERROR(Tabla14[[#This Row],[Animales vivos reportados]]/Tabla14[[#This Row],['#AA]],"")</f>
        <v>182320</v>
      </c>
      <c r="AS4" s="93">
        <f>IFERROR(((Tabla14[[#This Row],[Lbs/ha      sin Raleo]]*Tabla14[[#This Row],[Ha]])/Tabla14[[#This Row],['#AA]])/2.2046,"")</f>
        <v>236.80562188551687</v>
      </c>
      <c r="AT4" s="93">
        <v>14</v>
      </c>
      <c r="AU4" s="93">
        <v>16</v>
      </c>
      <c r="AV4" s="106">
        <v>0.6</v>
      </c>
      <c r="AW4" s="107">
        <f>Tabla14[[#This Row],[Hp/AR]]*Tabla14[[#This Row],[%Efi AR]]</f>
        <v>9.6</v>
      </c>
      <c r="AX4" s="107">
        <f>Tabla14[[#This Row],[Hp/Efi]]*Tabla14[[#This Row],['#AR]]</f>
        <v>134.4</v>
      </c>
      <c r="AY4" s="107">
        <f>Tabla14[[#This Row],[Total hp/AR]]/Tabla14[[#This Row],[Ha]]</f>
        <v>31.255813953488374</v>
      </c>
      <c r="AZ4" s="60">
        <f>IF(Tabla14[[#This Row],[Peso Actual]]&gt;X3,Tabla14[[#This Row],[Peso Actual]]-X3,"")</f>
        <v>0.8</v>
      </c>
      <c r="BA4" s="39"/>
      <c r="BB4" s="16">
        <v>80</v>
      </c>
      <c r="BC4" s="35">
        <f>IFERROR(Tabla14[[#This Row],[Animales vivos reportados]]/Tabla14[[#This Row],[Ha]]/10000,"")</f>
        <v>21.2</v>
      </c>
      <c r="BD4" s="91">
        <f>IFERROR((Tabla14[[#This Row],[CXMT ACTUAL]]*10000*Tabla14[[#This Row],[Ha]])/Tabla14[[#This Row],[Animales Sembrados]],"")</f>
        <v>0.8</v>
      </c>
      <c r="BE4" s="70">
        <f>IFERROR( Tabla14[[#This Row],[Animales según alimentación actual]]/(Tabla14[[#This Row],[Densidad/ha]]*Tabla14[[#This Row],[Ha]]),"")</f>
        <v>1.7358683440298184</v>
      </c>
      <c r="BF4" s="37"/>
    </row>
    <row r="5" spans="1:59" x14ac:dyDescent="0.35">
      <c r="A5" s="18">
        <v>714</v>
      </c>
      <c r="B5" s="110" t="s">
        <v>95</v>
      </c>
      <c r="C5" s="17">
        <v>3.1560000000000001</v>
      </c>
      <c r="D5" s="83">
        <v>46182</v>
      </c>
      <c r="E5" s="83">
        <v>46178</v>
      </c>
      <c r="F5" s="12">
        <f>Tabla14[[#This Row],[Fecha]]-Tabla14[[#This Row],[Siembra]]</f>
        <v>-4</v>
      </c>
      <c r="G5" s="30">
        <f>IFERROR((((Tabla14[[#This Row],[Kg Alimento diario ]]-Tabla14[[#This Row],[Kg Alimento Sugerido]])/(Tabla14[[#This Row],[Kg Alimento Sugerido]])*100)),"")</f>
        <v>-16.666666666666664</v>
      </c>
      <c r="H5" s="64">
        <v>3150</v>
      </c>
      <c r="I5" s="103">
        <f ca="1">IFERROR(
   IF(OFFSET(Tabla14[[#This Row],[Psc]],-1,0)=Tabla14[[#This Row],[Psc]],
      OFFSET(Tabla14[[#This Row],[Bal Acumulado]],-1,0)+Tabla14[[#This Row],[Kg/ semanal]],
      Tabla14[[#This Row],[Kg/ semanal]]
   ),
   Tabla14[[#This Row],[Kg/ semanal]]
)</f>
        <v>3150</v>
      </c>
      <c r="J5" s="38">
        <f ca="1">IFERROR(((Tabla14[[#This Row],[Bal Acumulado]]*2.2046/Tabla14[[#This Row],[Ha]])/L5),"")</f>
        <v>1.3859400254470111</v>
      </c>
      <c r="K5" s="68">
        <f>Tabla14[[#This Row],[Animales vivos reportados]]*Tabla14[[#This Row],[Peso Actual]]/454/Tabla14[[#This Row],[Ha]]</f>
        <v>1587.6651982378853</v>
      </c>
      <c r="L5" s="68">
        <f>Tabla14[[#This Row],[Animales vivos reportados]]*Tabla14[[#This Row],[Peso Actual]]/454/Tabla14[[#This Row],[Ha]]+O3</f>
        <v>1587.6651982378853</v>
      </c>
      <c r="M5" s="68"/>
      <c r="N5" s="68"/>
      <c r="O5" s="68">
        <f>Tabla14[[#This Row],[Raleo/total]]/Tabla14[[#This Row],[Ha]]</f>
        <v>0</v>
      </c>
      <c r="P5" s="61">
        <f>IFERROR(Tabla14[[#This Row],[Kg Alimento diario ]]/Tabla14[[#This Row],[Ha]],"")</f>
        <v>142.58555133079847</v>
      </c>
      <c r="Q5" s="65">
        <f>IFERROR((Tabla14[[#This Row],[Kg Alimento diario ]])/(Tabla14[[#This Row],[Animales vivos reportados]]/100000),"")</f>
        <v>67.257335533395505</v>
      </c>
      <c r="R5" s="104">
        <v>7</v>
      </c>
      <c r="S5" s="89">
        <f>Tabla14[[#This Row],[Kg/ semanal]]/Tabla14[[#This Row],[Dias alimentados]]</f>
        <v>450</v>
      </c>
      <c r="T5" s="62">
        <f>Tabla14[[#This Row],[Kg Alimento Sugerido]]/Tabla14[[#This Row],[Ha]]</f>
        <v>171.10266159695817</v>
      </c>
      <c r="U5" s="63">
        <v>540</v>
      </c>
      <c r="V5" s="69">
        <v>415</v>
      </c>
      <c r="W5" s="69">
        <f>Tabla14[[#This Row],[Kg Minimo]]/Tabla14[[#This Row],[Ha]]</f>
        <v>131.4955640050697</v>
      </c>
      <c r="X5" s="84">
        <v>3.4</v>
      </c>
      <c r="Y5" s="14">
        <f>IFERROR(Tabla14[[#This Row],[Kg Alimento diario ]]/(Tabla14[[#This Row],[Peso Actual]]/1000*Tabla14[[#This Row],[Animales vivos reportados]]),"")</f>
        <v>0.19781569274528094</v>
      </c>
      <c r="Z5" s="6">
        <f>IFERROR(IF($Z$1="NormalCalor",
     VLOOKUP(Tabla14[[#This Row],[Peso Actual]], Tabla!$A$4:$C$76, 2, TRUE)/100,
     VLOOKUP(Tabla14[[#This Row],[Peso Actual]], Tabla!$A$4:$C$76, 3, TRUE)/100),
"")</f>
        <v>8.5999999999999993E-2</v>
      </c>
      <c r="AA5" s="40">
        <f>IFERROR(IF($AA$1="MinFrio",VLOOKUP(Tabla14[[#This Row],[Peso Actual]],Tabla!$F$3:$H$482,3,1),VLOOKUP(Tabla14[[#This Row],[Peso Actual]],Tabla!$F$3:$H$482,2,1)),"")</f>
        <v>6.5450051048518434E-2</v>
      </c>
      <c r="AB5" s="28">
        <f>+Tabla14[[#This Row],[Biomasa de camaron  ]]/Tabla14[[#This Row],[Ha]]*2.2</f>
        <v>4377.0448315500926</v>
      </c>
      <c r="AC5" s="28">
        <f t="shared" si="0"/>
        <v>6279.0697674418607</v>
      </c>
      <c r="AD5" s="41">
        <f t="shared" si="0"/>
        <v>6340.713159908134</v>
      </c>
      <c r="AE5" s="28">
        <f>+Tabla14[[#This Row],[Biomasa de Camaron bajo reportado]]*2.2</f>
        <v>4003.7268480000002</v>
      </c>
      <c r="AF5" s="28">
        <f>+(Tabla14[[#This Row],[Sobrevivencia total  en finca]]/100)*Tabla14[[#This Row],[Animales vivos reportados]]*Tabla14[[#This Row],[Peso Actual]]/1000</f>
        <v>1819.8758399999999</v>
      </c>
      <c r="AG5" s="28">
        <f>+Tabla14[[#This Row],[Biomasa de camaron alimentacion actual]]/Tabla14[[#This Row],[Ha]]*2.2</f>
        <v>3647.5373596250779</v>
      </c>
      <c r="AH5" s="36">
        <f>(Tabla14[[#This Row],[Kg Alimento diario ]]/Tabla14[[#This Row],[BW Sugerida]])</f>
        <v>5232.5581395348845</v>
      </c>
      <c r="AI5" s="85">
        <f>(Tabla14[[#This Row],[Kg Minimo]]/Tabla14[[#This Row],[BW(min)]])</f>
        <v>6340.713159908134</v>
      </c>
      <c r="AJ5" s="28">
        <f>Tabla14[[#This Row],[Densidad/ha]]*Tabla14[[#This Row],[Ha]]</f>
        <v>836340</v>
      </c>
      <c r="AK5" s="29">
        <v>265000</v>
      </c>
      <c r="AL5" s="31">
        <f>Tabla14[[#This Row],[Animales Sembrados]]*Tabla14[[#This Row],[Sobrevivencia total  en finca]]/100</f>
        <v>669072</v>
      </c>
      <c r="AM5" s="41">
        <f>Tabla14[[#This Row],[Animales vivos reportados]]*Tabla14[[#This Row],[Peso Actual]]/454/Tabla14[[#This Row],[Ha]]</f>
        <v>1587.6651982378853</v>
      </c>
      <c r="AN5" s="28">
        <f xml:space="preserve"> IFERROR(
(Tabla14[[#This Row],[Biomasa de camaron  ]]*1000/Tabla14[[#This Row],[Peso Actual]]),"")</f>
        <v>1846785.2257181944</v>
      </c>
      <c r="AO5" s="13">
        <f>IFERROR(((Tabla14[[#This Row],[Biomasa de camaron alimentacion actual]]*1000)/Tabla14[[#This Row],[Peso Actual]]),"")</f>
        <v>1538987.6880984954</v>
      </c>
      <c r="AP5" s="42">
        <f>IFERROR( (
(Tabla14[[#This Row],[Biomasa de camaron alimentacion 2]]*1000)/Tabla14[[#This Row],[Peso Actual]]),"")</f>
        <v>1864915.6352670982</v>
      </c>
      <c r="AQ5" s="85">
        <v>5</v>
      </c>
      <c r="AR5" s="93">
        <f>IFERROR(Tabla14[[#This Row],[Animales vivos reportados]]/Tabla14[[#This Row],['#AA]],"")</f>
        <v>133814.39999999999</v>
      </c>
      <c r="AS5" s="93">
        <f>IFERROR(((Tabla14[[#This Row],[Lbs/ha      sin Raleo]]*Tabla14[[#This Row],[Ha]])/Tabla14[[#This Row],['#AA]])/2.2046,"")</f>
        <v>454.56512434353317</v>
      </c>
      <c r="AT5" s="93">
        <v>14</v>
      </c>
      <c r="AU5" s="93">
        <v>16</v>
      </c>
      <c r="AV5" s="106">
        <v>0.6</v>
      </c>
      <c r="AW5" s="107">
        <f>Tabla14[[#This Row],[Hp/AR]]*Tabla14[[#This Row],[%Efi AR]]</f>
        <v>9.6</v>
      </c>
      <c r="AX5" s="107">
        <f>Tabla14[[#This Row],[Hp/Efi]]*Tabla14[[#This Row],['#AR]]</f>
        <v>134.4</v>
      </c>
      <c r="AY5" s="107">
        <f>Tabla14[[#This Row],[Total hp/AR]]/Tabla14[[#This Row],[Ha]]</f>
        <v>42.585551330798481</v>
      </c>
      <c r="AZ5" s="60">
        <f>IF(Tabla14[[#This Row],[Peso Actual]]&gt;X4,Tabla14[[#This Row],[Peso Actual]]-X4,"")</f>
        <v>2.0999999999999996</v>
      </c>
      <c r="BA5" s="39"/>
      <c r="BB5" s="16">
        <v>80</v>
      </c>
      <c r="BC5" s="35">
        <f>IFERROR(Tabla14[[#This Row],[Animales vivos reportados]]/Tabla14[[#This Row],[Ha]]/10000,"")</f>
        <v>21.2</v>
      </c>
      <c r="BD5" s="91">
        <f>IFERROR((Tabla14[[#This Row],[CXMT ACTUAL]]*10000*Tabla14[[#This Row],[Ha]])/Tabla14[[#This Row],[Animales Sembrados]],"")</f>
        <v>0.8</v>
      </c>
      <c r="BE5" s="70">
        <f>IFERROR( Tabla14[[#This Row],[Animales según alimentación actual]]/(Tabla14[[#This Row],[Densidad/ha]]*Tabla14[[#This Row],[Ha]]),"")</f>
        <v>1.8401459790258692</v>
      </c>
      <c r="BF5" s="37"/>
    </row>
    <row r="6" spans="1:59" x14ac:dyDescent="0.35">
      <c r="A6" s="18">
        <v>816</v>
      </c>
      <c r="B6" s="111" t="s">
        <v>96</v>
      </c>
      <c r="C6" s="17"/>
      <c r="D6" s="83">
        <v>46178</v>
      </c>
      <c r="E6" s="83">
        <v>46178</v>
      </c>
      <c r="F6" s="12">
        <f>Tabla14[[#This Row],[Fecha]]-Tabla14[[#This Row],[Siembra]]</f>
        <v>0</v>
      </c>
      <c r="G6" s="30" t="str">
        <f>IFERROR((((Tabla14[[#This Row],[Kg Alimento diario ]]-Tabla14[[#This Row],[Kg Alimento Sugerido]])/(Tabla14[[#This Row],[Kg Alimento Sugerido]])*100)),"")</f>
        <v/>
      </c>
      <c r="H6" s="64">
        <v>300</v>
      </c>
      <c r="I6" s="103">
        <f ca="1">IFERROR(
   IF(OFFSET(Tabla14[[#This Row],[Psc]],-1,0)=Tabla14[[#This Row],[Psc]],
      OFFSET(Tabla14[[#This Row],[Bal Acumulado]],-1,0)+Tabla14[[#This Row],[Kg/ semanal]],
      Tabla14[[#This Row],[Kg/ semanal]]
   ),
   Tabla14[[#This Row],[Kg/ semanal]]
)</f>
        <v>300</v>
      </c>
      <c r="J6" s="38" t="str">
        <f ca="1">IFERROR(((Tabla14[[#This Row],[Bal Acumulado]]*2.2046/Tabla14[[#This Row],[Ha]])/L6),"")</f>
        <v/>
      </c>
      <c r="K6" s="64" t="e">
        <f>Tabla14[[#This Row],[Animales vivos reportados]]*Tabla14[[#This Row],[Peso Actual]]/454/Tabla14[[#This Row],[Ha]]</f>
        <v>#DIV/0!</v>
      </c>
      <c r="L6" s="68" t="e">
        <f>Tabla14[[#This Row],[Animales vivos reportados]]*Tabla14[[#This Row],[Peso Actual]]/454/Tabla14[[#This Row],[Ha]]+O4</f>
        <v>#DIV/0!</v>
      </c>
      <c r="M6" s="68"/>
      <c r="N6" s="68"/>
      <c r="O6" s="68" t="e">
        <f>Tabla14[[#This Row],[Raleo/total]]/Tabla14[[#This Row],[Ha]]</f>
        <v>#DIV/0!</v>
      </c>
      <c r="P6" s="61" t="str">
        <f>IFERROR(Tabla14[[#This Row],[Kg Alimento diario ]]/Tabla14[[#This Row],[Ha]],"")</f>
        <v/>
      </c>
      <c r="Q6" s="65" t="str">
        <f>IFERROR((Tabla14[[#This Row],[Kg Alimento diario ]])/(Tabla14[[#This Row],[Animales vivos reportados]]/100000),"")</f>
        <v/>
      </c>
      <c r="R6" s="104">
        <v>7</v>
      </c>
      <c r="S6" s="89">
        <f>Tabla14[[#This Row],[Kg/ semanal]]/Tabla14[[#This Row],[Dias alimentados]]</f>
        <v>42.857142857142854</v>
      </c>
      <c r="T6" s="62" t="e">
        <f>Tabla14[[#This Row],[Kg Alimento Sugerido]]/Tabla14[[#This Row],[Ha]]</f>
        <v>#DIV/0!</v>
      </c>
      <c r="U6" s="63"/>
      <c r="V6" s="69"/>
      <c r="W6" s="69" t="e">
        <f>Tabla14[[#This Row],[Kg Minimo]]/Tabla14[[#This Row],[Ha]]</f>
        <v>#DIV/0!</v>
      </c>
      <c r="X6" s="81"/>
      <c r="Y6" s="14" t="str">
        <f>IFERROR(Tabla14[[#This Row],[Kg Alimento diario ]]/(Tabla14[[#This Row],[Peso Actual]]/1000*Tabla14[[#This Row],[Animales vivos reportados]]),"")</f>
        <v/>
      </c>
      <c r="Z6" s="6" t="str">
        <f>IFERROR(IF($Z$1="NormalCalor",
     VLOOKUP(Tabla14[[#This Row],[Peso Actual]], Tabla!$A$4:$C$76, 2, TRUE)/100,
     VLOOKUP(Tabla14[[#This Row],[Peso Actual]], Tabla!$A$4:$C$76, 3, TRUE)/100),
"")</f>
        <v/>
      </c>
      <c r="AA6" s="40" t="str">
        <f>IFERROR(IF($AA$1="MinFrio",VLOOKUP(Tabla14[[#This Row],[Peso Actual]],Tabla!$F$3:$H$482,3,1),VLOOKUP(Tabla14[[#This Row],[Peso Actual]],Tabla!$F$3:$H$482,2,1)),"")</f>
        <v/>
      </c>
      <c r="AB6" s="28" t="e">
        <f>+Tabla14[[#This Row],[Biomasa de camaron  ]]/Tabla14[[#This Row],[Ha]]*2.2</f>
        <v>#VALUE!</v>
      </c>
      <c r="AC6" s="28" t="e">
        <f t="shared" si="0"/>
        <v>#VALUE!</v>
      </c>
      <c r="AD6" s="41" t="e">
        <f t="shared" si="0"/>
        <v>#VALUE!</v>
      </c>
      <c r="AE6" s="28">
        <f>+Tabla14[[#This Row],[Biomasa de Camaron bajo reportado]]*2.2</f>
        <v>0</v>
      </c>
      <c r="AF6" s="28">
        <f>+(Tabla14[[#This Row],[Sobrevivencia total  en finca]]/100)*Tabla14[[#This Row],[Animales vivos reportados]]*Tabla14[[#This Row],[Peso Actual]]/1000</f>
        <v>0</v>
      </c>
      <c r="AG6" s="28" t="e">
        <f>+Tabla14[[#This Row],[Biomasa de camaron alimentacion actual]]/Tabla14[[#This Row],[Ha]]*2.2</f>
        <v>#VALUE!</v>
      </c>
      <c r="AH6" s="36" t="e">
        <f>(Tabla14[[#This Row],[Kg Alimento diario ]]/Tabla14[[#This Row],[BW Sugerida]])</f>
        <v>#VALUE!</v>
      </c>
      <c r="AI6" s="85" t="e">
        <f>(Tabla14[[#This Row],[Kg Minimo]]/Tabla14[[#This Row],[BW(min)]])</f>
        <v>#VALUE!</v>
      </c>
      <c r="AJ6" s="28">
        <f>Tabla14[[#This Row],[Densidad/ha]]*Tabla14[[#This Row],[Ha]]</f>
        <v>0</v>
      </c>
      <c r="AK6" s="29">
        <v>265000</v>
      </c>
      <c r="AL6" s="31">
        <f>Tabla14[[#This Row],[Animales Sembrados]]*Tabla14[[#This Row],[Sobrevivencia total  en finca]]/100</f>
        <v>0</v>
      </c>
      <c r="AM6" s="41" t="e">
        <f>Tabla14[[#This Row],[Animales vivos reportados]]*Tabla14[[#This Row],[Peso Actual]]/454/Tabla14[[#This Row],[Ha]]</f>
        <v>#DIV/0!</v>
      </c>
      <c r="AN6" s="28" t="str">
        <f xml:space="preserve"> IFERROR(
(Tabla14[[#This Row],[Biomasa de camaron  ]]*1000/Tabla14[[#This Row],[Peso Actual]]),"")</f>
        <v/>
      </c>
      <c r="AO6" s="13" t="str">
        <f>IFERROR(((Tabla14[[#This Row],[Biomasa de camaron alimentacion actual]]*1000)/Tabla14[[#This Row],[Peso Actual]]),"")</f>
        <v/>
      </c>
      <c r="AP6" s="42" t="str">
        <f>IFERROR( (
(Tabla14[[#This Row],[Biomasa de camaron alimentacion 2]]*1000)/Tabla14[[#This Row],[Peso Actual]]),"")</f>
        <v/>
      </c>
      <c r="AQ6" s="85">
        <v>5</v>
      </c>
      <c r="AR6" s="93">
        <f>IFERROR(Tabla14[[#This Row],[Animales vivos reportados]]/Tabla14[[#This Row],['#AA]],"")</f>
        <v>0</v>
      </c>
      <c r="AS6" s="93" t="str">
        <f>IFERROR(((Tabla14[[#This Row],[Lbs/ha      sin Raleo]]*Tabla14[[#This Row],[Ha]])/Tabla14[[#This Row],['#AA]])/2.2046,"")</f>
        <v/>
      </c>
      <c r="AT6" s="93">
        <v>14</v>
      </c>
      <c r="AU6" s="93">
        <v>16</v>
      </c>
      <c r="AV6" s="106">
        <v>0.6</v>
      </c>
      <c r="AW6" s="107">
        <f>Tabla14[[#This Row],[Hp/AR]]*Tabla14[[#This Row],[%Efi AR]]</f>
        <v>9.6</v>
      </c>
      <c r="AX6" s="107">
        <f>Tabla14[[#This Row],[Hp/Efi]]*Tabla14[[#This Row],['#AR]]</f>
        <v>134.4</v>
      </c>
      <c r="AY6" s="107" t="e">
        <f>Tabla14[[#This Row],[Total hp/AR]]/Tabla14[[#This Row],[Ha]]</f>
        <v>#DIV/0!</v>
      </c>
      <c r="AZ6" s="60" t="str">
        <f>IF(Tabla14[[#This Row],[Peso Actual]]&gt;X5,Tabla14[[#This Row],[Peso Actual]]-X5,"")</f>
        <v/>
      </c>
      <c r="BA6" s="39"/>
      <c r="BB6" s="16">
        <v>80</v>
      </c>
      <c r="BC6" s="35" t="str">
        <f>IFERROR(Tabla14[[#This Row],[Animales vivos reportados]]/Tabla14[[#This Row],[Ha]]/10000,"")</f>
        <v/>
      </c>
      <c r="BD6" s="91" t="str">
        <f>IFERROR((Tabla14[[#This Row],[CXMT ACTUAL]]*10000*Tabla14[[#This Row],[Ha]])/Tabla14[[#This Row],[Animales Sembrados]],"")</f>
        <v/>
      </c>
      <c r="BE6" s="70" t="str">
        <f>IFERROR( Tabla14[[#This Row],[Animales según alimentación actual]]/(Tabla14[[#This Row],[Densidad/ha]]*Tabla14[[#This Row],[Ha]]),"")</f>
        <v/>
      </c>
      <c r="BF6" s="37"/>
    </row>
    <row r="7" spans="1:59" x14ac:dyDescent="0.35">
      <c r="A7" s="18">
        <v>817</v>
      </c>
      <c r="B7" s="111" t="s">
        <v>96</v>
      </c>
      <c r="C7" s="17"/>
      <c r="D7" s="83">
        <v>46178</v>
      </c>
      <c r="E7" s="83">
        <v>46178</v>
      </c>
      <c r="F7" s="12">
        <f>Tabla14[[#This Row],[Fecha]]-Tabla14[[#This Row],[Siembra]]</f>
        <v>0</v>
      </c>
      <c r="G7" s="30" t="str">
        <f>IFERROR((((Tabla14[[#This Row],[Kg Alimento diario ]]-Tabla14[[#This Row],[Kg Alimento Sugerido]])/(Tabla14[[#This Row],[Kg Alimento Sugerido]])*100)),"")</f>
        <v/>
      </c>
      <c r="H7" s="64">
        <v>45</v>
      </c>
      <c r="I7" s="103">
        <f ca="1">IFERROR(
   IF(OFFSET(Tabla14[[#This Row],[Psc]],-1,0)=Tabla14[[#This Row],[Psc]],
      OFFSET(Tabla14[[#This Row],[Bal Acumulado]],-1,0)+Tabla14[[#This Row],[Kg/ semanal]],
      Tabla14[[#This Row],[Kg/ semanal]]
   ),
   Tabla14[[#This Row],[Kg/ semanal]]
)</f>
        <v>45</v>
      </c>
      <c r="J7" s="38" t="str">
        <f ca="1">IFERROR(((Tabla14[[#This Row],[Bal Acumulado]]*2.2046/Tabla14[[#This Row],[Ha]])/L7),"")</f>
        <v/>
      </c>
      <c r="K7" s="64" t="e">
        <f>Tabla14[[#This Row],[Animales vivos reportados]]*Tabla14[[#This Row],[Peso Actual]]/454/Tabla14[[#This Row],[Ha]]</f>
        <v>#DIV/0!</v>
      </c>
      <c r="L7" s="68" t="e">
        <f>Tabla14[[#This Row],[Animales vivos reportados]]*Tabla14[[#This Row],[Peso Actual]]/454/Tabla14[[#This Row],[Ha]]+O5</f>
        <v>#DIV/0!</v>
      </c>
      <c r="M7" s="68"/>
      <c r="N7" s="68"/>
      <c r="O7" s="68" t="e">
        <f>Tabla14[[#This Row],[Raleo/total]]/Tabla14[[#This Row],[Ha]]</f>
        <v>#DIV/0!</v>
      </c>
      <c r="P7" s="61" t="str">
        <f>IFERROR(Tabla14[[#This Row],[Kg Alimento diario ]]/Tabla14[[#This Row],[Ha]],"")</f>
        <v/>
      </c>
      <c r="Q7" s="65" t="str">
        <f>IFERROR((Tabla14[[#This Row],[Kg Alimento diario ]])/(Tabla14[[#This Row],[Animales vivos reportados]]/100000),"")</f>
        <v/>
      </c>
      <c r="R7" s="104">
        <v>7</v>
      </c>
      <c r="S7" s="89">
        <f>Tabla14[[#This Row],[Kg/ semanal]]/Tabla14[[#This Row],[Dias alimentados]]</f>
        <v>6.4285714285714288</v>
      </c>
      <c r="T7" s="62" t="e">
        <f>Tabla14[[#This Row],[Kg Alimento Sugerido]]/Tabla14[[#This Row],[Ha]]</f>
        <v>#DIV/0!</v>
      </c>
      <c r="U7" s="63"/>
      <c r="V7" s="69">
        <v>1800</v>
      </c>
      <c r="W7" s="69" t="e">
        <f>Tabla14[[#This Row],[Kg Minimo]]/Tabla14[[#This Row],[Ha]]</f>
        <v>#DIV/0!</v>
      </c>
      <c r="X7" s="82"/>
      <c r="Y7" s="14" t="str">
        <f>IFERROR(Tabla14[[#This Row],[Kg Alimento diario ]]/(Tabla14[[#This Row],[Peso Actual]]/1000*Tabla14[[#This Row],[Animales vivos reportados]]),"")</f>
        <v/>
      </c>
      <c r="Z7" s="6" t="str">
        <f>IFERROR(IF($Z$1="NormalCalor",
     VLOOKUP(Tabla14[[#This Row],[Peso Actual]], Tabla!$A$4:$C$76, 2, TRUE)/100,
     VLOOKUP(Tabla14[[#This Row],[Peso Actual]], Tabla!$A$4:$C$76, 3, TRUE)/100),
"")</f>
        <v/>
      </c>
      <c r="AA7" s="40" t="str">
        <f>IFERROR(IF($AA$1="MinFrio",VLOOKUP(Tabla14[[#This Row],[Peso Actual]],Tabla!$F$3:$H$482,3,1),VLOOKUP(Tabla14[[#This Row],[Peso Actual]],Tabla!$F$3:$H$482,2,1)),"")</f>
        <v/>
      </c>
      <c r="AB7" s="28" t="e">
        <f>+Tabla14[[#This Row],[Biomasa de camaron  ]]/Tabla14[[#This Row],[Ha]]*2.2</f>
        <v>#VALUE!</v>
      </c>
      <c r="AC7" s="28" t="e">
        <f t="shared" si="0"/>
        <v>#VALUE!</v>
      </c>
      <c r="AD7" s="41" t="e">
        <f t="shared" si="0"/>
        <v>#VALUE!</v>
      </c>
      <c r="AE7" s="28">
        <f>+Tabla14[[#This Row],[Biomasa de Camaron bajo reportado]]*2.2</f>
        <v>0</v>
      </c>
      <c r="AF7" s="28">
        <f>+(Tabla14[[#This Row],[Sobrevivencia total  en finca]]/100)*Tabla14[[#This Row],[Animales vivos reportados]]*Tabla14[[#This Row],[Peso Actual]]/1000</f>
        <v>0</v>
      </c>
      <c r="AG7" s="28" t="e">
        <f>+Tabla14[[#This Row],[Biomasa de camaron alimentacion actual]]/Tabla14[[#This Row],[Ha]]*2.2</f>
        <v>#VALUE!</v>
      </c>
      <c r="AH7" s="36" t="e">
        <f>(Tabla14[[#This Row],[Kg Alimento diario ]]/Tabla14[[#This Row],[BW Sugerida]])</f>
        <v>#VALUE!</v>
      </c>
      <c r="AI7" s="85" t="e">
        <f>(Tabla14[[#This Row],[Kg Minimo]]/Tabla14[[#This Row],[BW(min)]])</f>
        <v>#VALUE!</v>
      </c>
      <c r="AJ7" s="31">
        <f>Tabla14[[#This Row],[Densidad/ha]]*Tabla14[[#This Row],[Ha]]</f>
        <v>0</v>
      </c>
      <c r="AK7" s="29">
        <v>265000</v>
      </c>
      <c r="AL7" s="31">
        <f>Tabla14[[#This Row],[Animales Sembrados]]*Tabla14[[#This Row],[Sobrevivencia total  en finca]]/100</f>
        <v>0</v>
      </c>
      <c r="AM7" s="41" t="e">
        <f>Tabla14[[#This Row],[Animales vivos reportados]]*Tabla14[[#This Row],[Peso Actual]]/454/Tabla14[[#This Row],[Ha]]</f>
        <v>#DIV/0!</v>
      </c>
      <c r="AN7" s="28" t="str">
        <f xml:space="preserve"> IFERROR(
(Tabla14[[#This Row],[Biomasa de camaron  ]]*1000/Tabla14[[#This Row],[Peso Actual]]),"")</f>
        <v/>
      </c>
      <c r="AO7" s="13" t="str">
        <f>IFERROR(((Tabla14[[#This Row],[Biomasa de camaron alimentacion actual]]*1000)/Tabla14[[#This Row],[Peso Actual]]),"")</f>
        <v/>
      </c>
      <c r="AP7" s="42" t="str">
        <f>IFERROR( (
(Tabla14[[#This Row],[Biomasa de camaron alimentacion 2]]*1000)/Tabla14[[#This Row],[Peso Actual]]),"")</f>
        <v/>
      </c>
      <c r="AQ7" s="85">
        <v>5</v>
      </c>
      <c r="AR7" s="93">
        <f>IFERROR(Tabla14[[#This Row],[Animales vivos reportados]]/Tabla14[[#This Row],['#AA]],"")</f>
        <v>0</v>
      </c>
      <c r="AS7" s="93" t="str">
        <f>IFERROR(((Tabla14[[#This Row],[Lbs/ha      sin Raleo]]*Tabla14[[#This Row],[Ha]])/Tabla14[[#This Row],['#AA]])/2.2046,"")</f>
        <v/>
      </c>
      <c r="AT7" s="93">
        <v>14</v>
      </c>
      <c r="AU7" s="93">
        <v>16</v>
      </c>
      <c r="AV7" s="106">
        <v>0.6</v>
      </c>
      <c r="AW7" s="107">
        <f>Tabla14[[#This Row],[Hp/AR]]*Tabla14[[#This Row],[%Efi AR]]</f>
        <v>9.6</v>
      </c>
      <c r="AX7" s="107">
        <f>Tabla14[[#This Row],[Hp/Efi]]*Tabla14[[#This Row],['#AR]]</f>
        <v>134.4</v>
      </c>
      <c r="AY7" s="107" t="e">
        <f>Tabla14[[#This Row],[Total hp/AR]]/Tabla14[[#This Row],[Ha]]</f>
        <v>#DIV/0!</v>
      </c>
      <c r="AZ7" s="60" t="str">
        <f>IF(Tabla14[[#This Row],[Peso Actual]]&gt;X6,Tabla14[[#This Row],[Peso Actual]]-X6,"")</f>
        <v/>
      </c>
      <c r="BA7" s="39"/>
      <c r="BB7" s="16">
        <v>80</v>
      </c>
      <c r="BC7" s="35" t="str">
        <f>IFERROR(Tabla14[[#This Row],[Animales vivos reportados]]/Tabla14[[#This Row],[Ha]]/10000,"")</f>
        <v/>
      </c>
      <c r="BD7" s="91" t="str">
        <f>IFERROR((Tabla14[[#This Row],[CXMT ACTUAL]]*10000*Tabla14[[#This Row],[Ha]])/Tabla14[[#This Row],[Animales Sembrados]],"")</f>
        <v/>
      </c>
      <c r="BE7" s="70" t="str">
        <f>IFERROR( Tabla14[[#This Row],[Animales según alimentación actual]]/(Tabla14[[#This Row],[Densidad/ha]]*Tabla14[[#This Row],[Ha]]),"")</f>
        <v/>
      </c>
      <c r="BF7" s="37"/>
    </row>
    <row r="8" spans="1:59" x14ac:dyDescent="0.35">
      <c r="A8" s="18">
        <v>812</v>
      </c>
      <c r="B8" s="110" t="s">
        <v>95</v>
      </c>
      <c r="C8" s="17">
        <v>4.0209999999999999</v>
      </c>
      <c r="D8" s="83">
        <v>46166</v>
      </c>
      <c r="E8" s="83">
        <v>46178</v>
      </c>
      <c r="F8" s="12">
        <f>Tabla14[[#This Row],[Fecha]]-Tabla14[[#This Row],[Siembra]]</f>
        <v>12</v>
      </c>
      <c r="G8" s="30" t="str">
        <f>IFERROR((((Tabla14[[#This Row],[Kg Alimento diario ]]-Tabla14[[#This Row],[Kg Alimento Sugerido]])/(Tabla14[[#This Row],[Kg Alimento Sugerido]])*100)),"")</f>
        <v/>
      </c>
      <c r="H8" s="64">
        <v>6</v>
      </c>
      <c r="I8" s="103">
        <f ca="1">IFERROR(
   IF(OFFSET(Tabla14[[#This Row],[Psc]],-1,0)=Tabla14[[#This Row],[Psc]],
      OFFSET(Tabla14[[#This Row],[Bal Acumulado]],-1,0)+Tabla14[[#This Row],[Kg/ semanal]],
      Tabla14[[#This Row],[Kg/ semanal]]
   ),
   Tabla14[[#This Row],[Kg/ semanal]]
)</f>
        <v>6</v>
      </c>
      <c r="J8" s="38" t="str">
        <f ca="1">IFERROR(((Tabla14[[#This Row],[Bal Acumulado]]*2.2046/Tabla14[[#This Row],[Ha]])/L8),"")</f>
        <v/>
      </c>
      <c r="K8" s="68">
        <f>Tabla14[[#This Row],[Animales vivos reportados]]*Tabla14[[#This Row],[Peso Actual]]/454/Tabla14[[#This Row],[Ha]]</f>
        <v>0</v>
      </c>
      <c r="L8" s="64" t="e">
        <f>Tabla14[[#This Row],[Animales vivos reportados]]*Tabla14[[#This Row],[Peso Actual]]/454/Tabla14[[#This Row],[Ha]]+O6</f>
        <v>#DIV/0!</v>
      </c>
      <c r="M8" s="68"/>
      <c r="N8" s="68"/>
      <c r="O8" s="68">
        <f>Tabla14[[#This Row],[Raleo/total]]/Tabla14[[#This Row],[Ha]]</f>
        <v>0</v>
      </c>
      <c r="P8" s="61">
        <f>IFERROR(Tabla14[[#This Row],[Kg Alimento diario ]]/Tabla14[[#This Row],[Ha]],"")</f>
        <v>0.21316658968984262</v>
      </c>
      <c r="Q8" s="65">
        <f>IFERROR((Tabla14[[#This Row],[Kg Alimento diario ]])/(Tabla14[[#This Row],[Animales vivos reportados]]/100000),"")</f>
        <v>0.10055027815558612</v>
      </c>
      <c r="R8" s="104">
        <v>7</v>
      </c>
      <c r="S8" s="89">
        <f>Tabla14[[#This Row],[Kg/ semanal]]/Tabla14[[#This Row],[Dias alimentados]]</f>
        <v>0.8571428571428571</v>
      </c>
      <c r="T8" s="62">
        <f>Tabla14[[#This Row],[Kg Alimento Sugerido]]/Tabla14[[#This Row],[Ha]]</f>
        <v>0</v>
      </c>
      <c r="U8" s="63"/>
      <c r="V8" s="63"/>
      <c r="W8" s="63">
        <f>Tabla14[[#This Row],[Kg Minimo]]/Tabla14[[#This Row],[Ha]]</f>
        <v>0</v>
      </c>
      <c r="X8" s="88"/>
      <c r="Y8" s="14" t="str">
        <f>IFERROR(Tabla14[[#This Row],[Kg Alimento diario ]]/(Tabla14[[#This Row],[Peso Actual]]/1000*Tabla14[[#This Row],[Animales vivos reportados]]),"")</f>
        <v/>
      </c>
      <c r="Z8" s="6" t="str">
        <f>IFERROR(IF($Z$1="NormalCalor",
     VLOOKUP(Tabla14[[#This Row],[Peso Actual]], Tabla!$A$4:$C$76, 2, TRUE)/100,
     VLOOKUP(Tabla14[[#This Row],[Peso Actual]], Tabla!$A$4:$C$76, 3, TRUE)/100),
"")</f>
        <v/>
      </c>
      <c r="AA8" s="40" t="str">
        <f>IFERROR(IF($AA$1="MinFrio",VLOOKUP(Tabla14[[#This Row],[Peso Actual]],Tabla!$F$3:$H$482,3,1),VLOOKUP(Tabla14[[#This Row],[Peso Actual]],Tabla!$F$3:$H$482,2,1)),"")</f>
        <v/>
      </c>
      <c r="AB8" s="28" t="e">
        <f>+Tabla14[[#This Row],[Biomasa de camaron  ]]/Tabla14[[#This Row],[Ha]]*2.2</f>
        <v>#VALUE!</v>
      </c>
      <c r="AC8" s="28" t="e">
        <f t="shared" si="0"/>
        <v>#VALUE!</v>
      </c>
      <c r="AD8" s="41" t="e">
        <f t="shared" si="0"/>
        <v>#VALUE!</v>
      </c>
      <c r="AE8" s="28">
        <f>+Tabla14[[#This Row],[Biomasa de Camaron bajo reportado]]*2.2</f>
        <v>0</v>
      </c>
      <c r="AF8" s="28">
        <f>+(Tabla14[[#This Row],[Sobrevivencia total  en finca]]/100)*Tabla14[[#This Row],[Animales vivos reportados]]*Tabla14[[#This Row],[Peso Actual]]/1000</f>
        <v>0</v>
      </c>
      <c r="AG8" s="28" t="e">
        <f>+Tabla14[[#This Row],[Biomasa de camaron alimentacion actual]]/Tabla14[[#This Row],[Ha]]*2.2</f>
        <v>#VALUE!</v>
      </c>
      <c r="AH8" s="36" t="e">
        <f>(Tabla14[[#This Row],[Kg Alimento diario ]]/Tabla14[[#This Row],[BW Sugerida]])</f>
        <v>#VALUE!</v>
      </c>
      <c r="AI8" s="85" t="e">
        <f>(Tabla14[[#This Row],[Kg Minimo]]/Tabla14[[#This Row],[BW(min)]])</f>
        <v>#VALUE!</v>
      </c>
      <c r="AJ8" s="31">
        <f>Tabla14[[#This Row],[Densidad/ha]]*Tabla14[[#This Row],[Ha]]</f>
        <v>1065565</v>
      </c>
      <c r="AK8" s="29">
        <v>265000</v>
      </c>
      <c r="AL8" s="31">
        <f>Tabla14[[#This Row],[Animales Sembrados]]*Tabla14[[#This Row],[Sobrevivencia total  en finca]]/100</f>
        <v>852452</v>
      </c>
      <c r="AM8" s="41">
        <f>Tabla14[[#This Row],[Animales vivos reportados]]*Tabla14[[#This Row],[Peso Actual]]/454/Tabla14[[#This Row],[Ha]]</f>
        <v>0</v>
      </c>
      <c r="AN8" s="28" t="str">
        <f xml:space="preserve"> IFERROR(
(Tabla14[[#This Row],[Biomasa de camaron  ]]*1000/Tabla14[[#This Row],[Peso Actual]]),"")</f>
        <v/>
      </c>
      <c r="AO8" s="13" t="str">
        <f>IFERROR(((Tabla14[[#This Row],[Biomasa de camaron alimentacion actual]]*1000)/Tabla14[[#This Row],[Peso Actual]]),"")</f>
        <v/>
      </c>
      <c r="AP8" s="42" t="str">
        <f>IFERROR( (
(Tabla14[[#This Row],[Biomasa de camaron alimentacion 2]]*1000)/Tabla14[[#This Row],[Peso Actual]]),"")</f>
        <v/>
      </c>
      <c r="AQ8" s="85"/>
      <c r="AR8" s="93" t="str">
        <f>IFERROR(Tabla14[[#This Row],[Animales vivos reportados]]/Tabla14[[#This Row],['#AA]],"")</f>
        <v/>
      </c>
      <c r="AS8" s="93" t="str">
        <f>IFERROR(((Tabla14[[#This Row],[Lbs/ha      sin Raleo]]*Tabla14[[#This Row],[Ha]])/Tabla14[[#This Row],['#AA]])/2.2046,"")</f>
        <v/>
      </c>
      <c r="AT8" s="93">
        <v>14</v>
      </c>
      <c r="AU8" s="93">
        <v>16</v>
      </c>
      <c r="AV8" s="106">
        <v>0.6</v>
      </c>
      <c r="AW8" s="107">
        <f>Tabla14[[#This Row],[Hp/AR]]*Tabla14[[#This Row],[%Efi AR]]</f>
        <v>9.6</v>
      </c>
      <c r="AX8" s="107">
        <f>Tabla14[[#This Row],[Hp/Efi]]*Tabla14[[#This Row],['#AR]]</f>
        <v>134.4</v>
      </c>
      <c r="AY8" s="107">
        <f>Tabla14[[#This Row],[Total hp/AR]]/Tabla14[[#This Row],[Ha]]</f>
        <v>33.424521263367325</v>
      </c>
      <c r="AZ8" s="60" t="str">
        <f>IF(Tabla14[[#This Row],[Peso Actual]]&gt;X7,Tabla14[[#This Row],[Peso Actual]]-X7,"")</f>
        <v/>
      </c>
      <c r="BA8" s="60"/>
      <c r="BB8" s="16">
        <v>80</v>
      </c>
      <c r="BC8" s="35">
        <f>IFERROR(Tabla14[[#This Row],[Animales vivos reportados]]/Tabla14[[#This Row],[Ha]]/10000,"")</f>
        <v>21.2</v>
      </c>
      <c r="BD8" s="91">
        <f>IFERROR((Tabla14[[#This Row],[CXMT ACTUAL]]*10000*Tabla14[[#This Row],[Ha]])/Tabla14[[#This Row],[Animales Sembrados]],"")</f>
        <v>0.8</v>
      </c>
      <c r="BE8" s="70" t="str">
        <f>IFERROR( Tabla14[[#This Row],[Animales según alimentación actual]]/(Tabla14[[#This Row],[Densidad/ha]]*Tabla14[[#This Row],[Ha]]),"")</f>
        <v/>
      </c>
      <c r="BF8" s="37"/>
    </row>
    <row r="9" spans="1:59" x14ac:dyDescent="0.35">
      <c r="A9" s="18">
        <v>813</v>
      </c>
      <c r="B9" s="110" t="s">
        <v>95</v>
      </c>
      <c r="C9" s="17">
        <v>3.1469999999999998</v>
      </c>
      <c r="D9" s="83">
        <v>46166</v>
      </c>
      <c r="E9" s="83">
        <v>46178</v>
      </c>
      <c r="F9" s="12">
        <f>Tabla14[[#This Row],[Fecha]]-Tabla14[[#This Row],[Siembra]]</f>
        <v>12</v>
      </c>
      <c r="G9" s="30" t="str">
        <f>IFERROR((((Tabla14[[#This Row],[Kg Alimento diario ]]-Tabla14[[#This Row],[Kg Alimento Sugerido]])/(Tabla14[[#This Row],[Kg Alimento Sugerido]])*100)),"")</f>
        <v/>
      </c>
      <c r="H9" s="64">
        <v>77</v>
      </c>
      <c r="I9" s="103">
        <f ca="1">IFERROR(
   IF(OFFSET(Tabla14[[#This Row],[Psc]],-1,0)=Tabla14[[#This Row],[Psc]],
      OFFSET(Tabla14[[#This Row],[Bal Acumulado]],-1,0)+Tabla14[[#This Row],[Kg/ semanal]],
      Tabla14[[#This Row],[Kg/ semanal]]
   ),
   Tabla14[[#This Row],[Kg/ semanal]]
)</f>
        <v>77</v>
      </c>
      <c r="J9" s="38" t="str">
        <f ca="1">IFERROR(((Tabla14[[#This Row],[Bal Acumulado]]*2.2046/Tabla14[[#This Row],[Ha]])/L9),"")</f>
        <v/>
      </c>
      <c r="K9" s="68">
        <f>Tabla14[[#This Row],[Animales vivos reportados]]*Tabla14[[#This Row],[Peso Actual]]/454/Tabla14[[#This Row],[Ha]]</f>
        <v>0</v>
      </c>
      <c r="L9" s="64" t="e">
        <f>Tabla14[[#This Row],[Animales vivos reportados]]*Tabla14[[#This Row],[Peso Actual]]/454/Tabla14[[#This Row],[Ha]]+O7</f>
        <v>#DIV/0!</v>
      </c>
      <c r="M9" s="68"/>
      <c r="N9" s="68"/>
      <c r="O9" s="68">
        <f>Tabla14[[#This Row],[Raleo/total]]/Tabla14[[#This Row],[Ha]]</f>
        <v>0</v>
      </c>
      <c r="P9" s="61">
        <f>IFERROR(Tabla14[[#This Row],[Kg Alimento diario ]]/Tabla14[[#This Row],[Ha]],"")</f>
        <v>3.4953924372418177</v>
      </c>
      <c r="Q9" s="65">
        <f>IFERROR((Tabla14[[#This Row],[Kg Alimento diario ]])/(Tabla14[[#This Row],[Animales vivos reportados]]/100000),"")</f>
        <v>1.6487700175668951</v>
      </c>
      <c r="R9" s="104">
        <v>7</v>
      </c>
      <c r="S9" s="89">
        <f>Tabla14[[#This Row],[Kg/ semanal]]/Tabla14[[#This Row],[Dias alimentados]]</f>
        <v>11</v>
      </c>
      <c r="T9" s="62">
        <f>Tabla14[[#This Row],[Kg Alimento Sugerido]]/Tabla14[[#This Row],[Ha]]</f>
        <v>0</v>
      </c>
      <c r="U9" s="63"/>
      <c r="V9" s="63"/>
      <c r="W9" s="63">
        <f>Tabla14[[#This Row],[Kg Minimo]]/Tabla14[[#This Row],[Ha]]</f>
        <v>0</v>
      </c>
      <c r="X9" s="88"/>
      <c r="Y9" s="14" t="str">
        <f>IFERROR(Tabla14[[#This Row],[Kg Alimento diario ]]/(Tabla14[[#This Row],[Peso Actual]]/1000*Tabla14[[#This Row],[Animales vivos reportados]]),"")</f>
        <v/>
      </c>
      <c r="Z9" s="6" t="str">
        <f>IFERROR(IF($Z$1="NormalCalor",
     VLOOKUP(Tabla14[[#This Row],[Peso Actual]], Tabla!$A$4:$C$76, 2, TRUE)/100,
     VLOOKUP(Tabla14[[#This Row],[Peso Actual]], Tabla!$A$4:$C$76, 3, TRUE)/100),
"")</f>
        <v/>
      </c>
      <c r="AA9" s="40" t="str">
        <f>IFERROR(IF($AA$1="MinFrio",VLOOKUP(Tabla14[[#This Row],[Peso Actual]],Tabla!$F$3:$H$482,3,1),VLOOKUP(Tabla14[[#This Row],[Peso Actual]],Tabla!$F$3:$H$482,2,1)),"")</f>
        <v/>
      </c>
      <c r="AB9" s="28" t="e">
        <f>+Tabla14[[#This Row],[Biomasa de camaron  ]]/Tabla14[[#This Row],[Ha]]*2.2</f>
        <v>#VALUE!</v>
      </c>
      <c r="AC9" s="28" t="e">
        <f t="shared" si="0"/>
        <v>#VALUE!</v>
      </c>
      <c r="AD9" s="41" t="e">
        <f t="shared" si="0"/>
        <v>#VALUE!</v>
      </c>
      <c r="AE9" s="28">
        <f>+Tabla14[[#This Row],[Biomasa de Camaron bajo reportado]]*2.2</f>
        <v>0</v>
      </c>
      <c r="AF9" s="28">
        <f>+(Tabla14[[#This Row],[Sobrevivencia total  en finca]]/100)*Tabla14[[#This Row],[Animales vivos reportados]]*Tabla14[[#This Row],[Peso Actual]]/1000</f>
        <v>0</v>
      </c>
      <c r="AG9" s="28" t="e">
        <f>+Tabla14[[#This Row],[Biomasa de camaron alimentacion actual]]/Tabla14[[#This Row],[Ha]]*2.2</f>
        <v>#VALUE!</v>
      </c>
      <c r="AH9" s="36" t="e">
        <f>(Tabla14[[#This Row],[Kg Alimento diario ]]/Tabla14[[#This Row],[BW Sugerida]])</f>
        <v>#VALUE!</v>
      </c>
      <c r="AI9" s="85" t="e">
        <f>(Tabla14[[#This Row],[Kg Minimo]]/Tabla14[[#This Row],[BW(min)]])</f>
        <v>#VALUE!</v>
      </c>
      <c r="AJ9" s="31">
        <f>Tabla14[[#This Row],[Densidad/ha]]*Tabla14[[#This Row],[Ha]]</f>
        <v>833955</v>
      </c>
      <c r="AK9" s="29">
        <v>265000</v>
      </c>
      <c r="AL9" s="31">
        <f>Tabla14[[#This Row],[Animales Sembrados]]*Tabla14[[#This Row],[Sobrevivencia total  en finca]]/100</f>
        <v>667164</v>
      </c>
      <c r="AM9" s="41">
        <f>Tabla14[[#This Row],[Animales vivos reportados]]*Tabla14[[#This Row],[Peso Actual]]/454/Tabla14[[#This Row],[Ha]]</f>
        <v>0</v>
      </c>
      <c r="AN9" s="28" t="str">
        <f xml:space="preserve"> IFERROR(
(Tabla14[[#This Row],[Biomasa de camaron  ]]*1000/Tabla14[[#This Row],[Peso Actual]]),"")</f>
        <v/>
      </c>
      <c r="AO9" s="13" t="str">
        <f>IFERROR(((Tabla14[[#This Row],[Biomasa de camaron alimentacion actual]]*1000)/Tabla14[[#This Row],[Peso Actual]]),"")</f>
        <v/>
      </c>
      <c r="AP9" s="42" t="str">
        <f>IFERROR( (
(Tabla14[[#This Row],[Biomasa de camaron alimentacion 2]]*1000)/Tabla14[[#This Row],[Peso Actual]]),"")</f>
        <v/>
      </c>
      <c r="AQ9" s="85"/>
      <c r="AR9" s="93" t="str">
        <f>IFERROR(Tabla14[[#This Row],[Animales vivos reportados]]/Tabla14[[#This Row],['#AA]],"")</f>
        <v/>
      </c>
      <c r="AS9" s="93" t="str">
        <f>IFERROR(((Tabla14[[#This Row],[Lbs/ha      sin Raleo]]*Tabla14[[#This Row],[Ha]])/Tabla14[[#This Row],['#AA]])/2.2046,"")</f>
        <v/>
      </c>
      <c r="AT9" s="93">
        <v>14</v>
      </c>
      <c r="AU9" s="93">
        <v>16</v>
      </c>
      <c r="AV9" s="106">
        <v>0.6</v>
      </c>
      <c r="AW9" s="107">
        <f>Tabla14[[#This Row],[Hp/AR]]*Tabla14[[#This Row],[%Efi AR]]</f>
        <v>9.6</v>
      </c>
      <c r="AX9" s="107">
        <f>Tabla14[[#This Row],[Hp/Efi]]*Tabla14[[#This Row],['#AR]]</f>
        <v>134.4</v>
      </c>
      <c r="AY9" s="107">
        <f>Tabla14[[#This Row],[Total hp/AR]]/Tabla14[[#This Row],[Ha]]</f>
        <v>42.707340324118213</v>
      </c>
      <c r="AZ9" s="60" t="str">
        <f>IF(Tabla14[[#This Row],[Peso Actual]]&gt;X8,Tabla14[[#This Row],[Peso Actual]]-X8,"")</f>
        <v/>
      </c>
      <c r="BA9" s="60"/>
      <c r="BB9" s="16">
        <v>80</v>
      </c>
      <c r="BC9" s="35">
        <f>IFERROR(Tabla14[[#This Row],[Animales vivos reportados]]/Tabla14[[#This Row],[Ha]]/10000,"")</f>
        <v>21.2</v>
      </c>
      <c r="BD9" s="91">
        <f>IFERROR((Tabla14[[#This Row],[CXMT ACTUAL]]*10000*Tabla14[[#This Row],[Ha]])/Tabla14[[#This Row],[Animales Sembrados]],"")</f>
        <v>0.8</v>
      </c>
      <c r="BE9" s="70" t="str">
        <f>IFERROR( Tabla14[[#This Row],[Animales según alimentación actual]]/(Tabla14[[#This Row],[Densidad/ha]]*Tabla14[[#This Row],[Ha]]),"")</f>
        <v/>
      </c>
      <c r="BF9" s="37"/>
    </row>
    <row r="10" spans="1:59" x14ac:dyDescent="0.35">
      <c r="A10" s="18">
        <v>811</v>
      </c>
      <c r="B10" s="111" t="s">
        <v>96</v>
      </c>
      <c r="C10" s="17"/>
      <c r="D10" s="83"/>
      <c r="E10" s="83">
        <v>46178</v>
      </c>
      <c r="F10" s="12">
        <f>Tabla14[[#This Row],[Fecha]]-Tabla14[[#This Row],[Siembra]]</f>
        <v>46178</v>
      </c>
      <c r="G10" s="30" t="str">
        <f>IFERROR((((Tabla14[[#This Row],[Kg Alimento diario ]]-Tabla14[[#This Row],[Kg Alimento Sugerido]])/(Tabla14[[#This Row],[Kg Alimento Sugerido]])*100)),"")</f>
        <v/>
      </c>
      <c r="H10" s="64">
        <v>88</v>
      </c>
      <c r="I10" s="103">
        <f ca="1">IFERROR(
   IF(OFFSET(Tabla14[[#This Row],[Psc]],-1,0)=Tabla14[[#This Row],[Psc]],
      OFFSET(Tabla14[[#This Row],[Bal Acumulado]],-1,0)+Tabla14[[#This Row],[Kg/ semanal]],
      Tabla14[[#This Row],[Kg/ semanal]]
   ),
   Tabla14[[#This Row],[Kg/ semanal]]
)</f>
        <v>88</v>
      </c>
      <c r="J10" s="38" t="str">
        <f ca="1">IFERROR(((Tabla14[[#This Row],[Bal Acumulado]]*2.2046/Tabla14[[#This Row],[Ha]])/L10),"")</f>
        <v/>
      </c>
      <c r="K10" s="68" t="e">
        <f>Tabla14[[#This Row],[Animales vivos reportados]]*Tabla14[[#This Row],[Peso Actual]]/454/Tabla14[[#This Row],[Ha]]</f>
        <v>#DIV/0!</v>
      </c>
      <c r="L10" s="64" t="e">
        <f>Tabla14[[#This Row],[Animales vivos reportados]]*Tabla14[[#This Row],[Peso Actual]]/454/Tabla14[[#This Row],[Ha]]+O8</f>
        <v>#DIV/0!</v>
      </c>
      <c r="M10" s="68">
        <v>0</v>
      </c>
      <c r="N10" s="68">
        <v>0</v>
      </c>
      <c r="O10" s="68">
        <v>0</v>
      </c>
      <c r="P10" s="61" t="str">
        <f>IFERROR(Tabla14[[#This Row],[Kg Alimento diario ]]/Tabla14[[#This Row],[Ha]],"")</f>
        <v/>
      </c>
      <c r="Q10" s="65" t="str">
        <f>IFERROR((Tabla14[[#This Row],[Kg Alimento diario ]])/(Tabla14[[#This Row],[Animales vivos reportados]]/100000),"")</f>
        <v/>
      </c>
      <c r="R10" s="104">
        <v>7</v>
      </c>
      <c r="S10" s="89">
        <f>Tabla14[[#This Row],[Kg/ semanal]]/Tabla14[[#This Row],[Dias alimentados]]</f>
        <v>12.571428571428571</v>
      </c>
      <c r="T10" s="62" t="e">
        <f>Tabla14[[#This Row],[Kg Alimento Sugerido]]/Tabla14[[#This Row],[Ha]]</f>
        <v>#DIV/0!</v>
      </c>
      <c r="U10" s="63"/>
      <c r="V10" s="63"/>
      <c r="W10" s="63" t="e">
        <f>Tabla14[[#This Row],[Kg Minimo]]/Tabla14[[#This Row],[Ha]]</f>
        <v>#DIV/0!</v>
      </c>
      <c r="X10" s="88"/>
      <c r="Y10" s="14" t="str">
        <f>IFERROR(Tabla14[[#This Row],[Kg Alimento diario ]]/(Tabla14[[#This Row],[Peso Actual]]/1000*Tabla14[[#This Row],[Animales vivos reportados]]),"")</f>
        <v/>
      </c>
      <c r="Z10" s="6" t="str">
        <f>IFERROR(IF($Z$1="NormalCalor",
     VLOOKUP(Tabla14[[#This Row],[Peso Actual]], Tabla!$A$4:$C$76, 2, TRUE)/100,
     VLOOKUP(Tabla14[[#This Row],[Peso Actual]], Tabla!$A$4:$C$76, 3, TRUE)/100),
"")</f>
        <v/>
      </c>
      <c r="AA10" s="40" t="str">
        <f>IFERROR(IF($AA$1="MinFrio",VLOOKUP(Tabla14[[#This Row],[Peso Actual]],Tabla!$F$3:$H$482,3,1),VLOOKUP(Tabla14[[#This Row],[Peso Actual]],Tabla!$F$3:$H$482,2,1)),"")</f>
        <v/>
      </c>
      <c r="AB10" s="28" t="e">
        <f>+Tabla14[[#This Row],[Biomasa de camaron  ]]/Tabla14[[#This Row],[Ha]]*2.2</f>
        <v>#VALUE!</v>
      </c>
      <c r="AC10" s="28" t="e">
        <f t="shared" si="0"/>
        <v>#VALUE!</v>
      </c>
      <c r="AD10" s="41" t="e">
        <f t="shared" si="0"/>
        <v>#VALUE!</v>
      </c>
      <c r="AE10" s="28">
        <f>+Tabla14[[#This Row],[Biomasa de Camaron bajo reportado]]*2.2</f>
        <v>0</v>
      </c>
      <c r="AF10" s="28">
        <f>+(Tabla14[[#This Row],[Sobrevivencia total  en finca]]/100)*Tabla14[[#This Row],[Animales vivos reportados]]*Tabla14[[#This Row],[Peso Actual]]/1000</f>
        <v>0</v>
      </c>
      <c r="AG10" s="28" t="e">
        <f>+Tabla14[[#This Row],[Biomasa de camaron alimentacion actual]]/Tabla14[[#This Row],[Ha]]*2.2</f>
        <v>#VALUE!</v>
      </c>
      <c r="AH10" s="36" t="e">
        <f>(Tabla14[[#This Row],[Kg Alimento diario ]]/Tabla14[[#This Row],[BW Sugerida]])</f>
        <v>#VALUE!</v>
      </c>
      <c r="AI10" s="85" t="e">
        <f>(Tabla14[[#This Row],[Kg Minimo]]/Tabla14[[#This Row],[BW(min)]])</f>
        <v>#VALUE!</v>
      </c>
      <c r="AJ10" s="31">
        <f>Tabla14[[#This Row],[Densidad/ha]]*Tabla14[[#This Row],[Ha]]</f>
        <v>0</v>
      </c>
      <c r="AK10" s="29">
        <v>265000</v>
      </c>
      <c r="AL10" s="31">
        <f>Tabla14[[#This Row],[Animales Sembrados]]*Tabla14[[#This Row],[Sobrevivencia total  en finca]]/100</f>
        <v>0</v>
      </c>
      <c r="AM10" s="41" t="e">
        <f>Tabla14[[#This Row],[Animales vivos reportados]]*Tabla14[[#This Row],[Peso Actual]]/454/Tabla14[[#This Row],[Ha]]</f>
        <v>#DIV/0!</v>
      </c>
      <c r="AN10" s="28" t="str">
        <f xml:space="preserve"> IFERROR(
(Tabla14[[#This Row],[Biomasa de camaron  ]]*1000/Tabla14[[#This Row],[Peso Actual]]),"")</f>
        <v/>
      </c>
      <c r="AO10" s="13" t="str">
        <f>IFERROR(((Tabla14[[#This Row],[Biomasa de camaron alimentacion actual]]*1000)/Tabla14[[#This Row],[Peso Actual]]),"")</f>
        <v/>
      </c>
      <c r="AP10" s="42" t="str">
        <f>IFERROR( (
(Tabla14[[#This Row],[Biomasa de camaron alimentacion 2]]*1000)/Tabla14[[#This Row],[Peso Actual]]),"")</f>
        <v/>
      </c>
      <c r="AQ10" s="85"/>
      <c r="AR10" s="93" t="str">
        <f>IFERROR(Tabla14[[#This Row],[Animales vivos reportados]]/Tabla14[[#This Row],['#AA]],"")</f>
        <v/>
      </c>
      <c r="AS10" s="93" t="str">
        <f>IFERROR(((Tabla14[[#This Row],[Lbs/ha      sin Raleo]]*Tabla14[[#This Row],[Ha]])/Tabla14[[#This Row],['#AA]])/2.2046,"")</f>
        <v/>
      </c>
      <c r="AT10" s="93">
        <v>14</v>
      </c>
      <c r="AU10" s="93">
        <v>16</v>
      </c>
      <c r="AV10" s="106">
        <v>0.6</v>
      </c>
      <c r="AW10" s="107">
        <f>Tabla14[[#This Row],[Hp/AR]]*Tabla14[[#This Row],[%Efi AR]]</f>
        <v>9.6</v>
      </c>
      <c r="AX10" s="107">
        <f>Tabla14[[#This Row],[Hp/Efi]]*Tabla14[[#This Row],['#AR]]</f>
        <v>134.4</v>
      </c>
      <c r="AY10" s="107" t="e">
        <f>Tabla14[[#This Row],[Total hp/AR]]/Tabla14[[#This Row],[Ha]]</f>
        <v>#DIV/0!</v>
      </c>
      <c r="AZ10" s="60" t="str">
        <f>IF(Tabla14[[#This Row],[Peso Actual]]&gt;X9,Tabla14[[#This Row],[Peso Actual]]-X9,"")</f>
        <v/>
      </c>
      <c r="BA10" s="60"/>
      <c r="BB10" s="16">
        <v>80</v>
      </c>
      <c r="BC10" s="35" t="str">
        <f>IFERROR(Tabla14[[#This Row],[Animales vivos reportados]]/Tabla14[[#This Row],[Ha]]/10000,"")</f>
        <v/>
      </c>
      <c r="BD10" s="91" t="str">
        <f>IFERROR((Tabla14[[#This Row],[CXMT ACTUAL]]*10000*Tabla14[[#This Row],[Ha]])/Tabla14[[#This Row],[Animales Sembrados]],"")</f>
        <v/>
      </c>
      <c r="BE10" s="70" t="str">
        <f>IFERROR( Tabla14[[#This Row],[Animales según alimentación actual]]/(Tabla14[[#This Row],[Densidad/ha]]*Tabla14[[#This Row],[Ha]]),"")</f>
        <v/>
      </c>
      <c r="BF10" s="37"/>
    </row>
    <row r="11" spans="1:59" x14ac:dyDescent="0.35">
      <c r="A11" s="18">
        <v>710</v>
      </c>
      <c r="B11" s="110" t="s">
        <v>95</v>
      </c>
      <c r="C11" s="17">
        <v>8.7100000000000009</v>
      </c>
      <c r="D11" s="83">
        <v>46170</v>
      </c>
      <c r="E11" s="83">
        <v>46178</v>
      </c>
      <c r="F11" s="12">
        <f>Tabla14[[#This Row],[Fecha]]-Tabla14[[#This Row],[Siembra]]</f>
        <v>8</v>
      </c>
      <c r="G11" s="30" t="str">
        <f>IFERROR((((Tabla14[[#This Row],[Kg Alimento diario ]]-Tabla14[[#This Row],[Kg Alimento Sugerido]])/(Tabla14[[#This Row],[Kg Alimento Sugerido]])*100)),"")</f>
        <v/>
      </c>
      <c r="H11" s="64">
        <v>6575</v>
      </c>
      <c r="I11" s="103">
        <f ca="1">IFERROR(
   IF(OFFSET(Tabla14[[#This Row],[Psc]],-1,0)=Tabla14[[#This Row],[Psc]],
      OFFSET(Tabla14[[#This Row],[Bal Acumulado]],-1,0)+Tabla14[[#This Row],[Kg/ semanal]],
      Tabla14[[#This Row],[Kg/ semanal]]
   ),
   Tabla14[[#This Row],[Kg/ semanal]]
)</f>
        <v>6575</v>
      </c>
      <c r="J11" s="38">
        <f ca="1">IFERROR(((Tabla14[[#This Row],[Bal Acumulado]]*2.2046/Tabla14[[#This Row],[Ha]])/L11),"")</f>
        <v>0.2395909572892693</v>
      </c>
      <c r="K11" s="68">
        <f>Tabla14[[#This Row],[Animales vivos reportados]]*Tabla14[[#This Row],[Peso Actual]]/454/Tabla14[[#This Row],[Ha]]</f>
        <v>6946.0352422907481</v>
      </c>
      <c r="L11" s="64">
        <f>Tabla14[[#This Row],[Animales vivos reportados]]*Tabla14[[#This Row],[Peso Actual]]/454/Tabla14[[#This Row],[Ha]]+O9</f>
        <v>6946.0352422907481</v>
      </c>
      <c r="M11" s="68"/>
      <c r="N11" s="68"/>
      <c r="O11" s="68">
        <f>Tabla14[[#This Row],[Raleo/total]]/Tabla14[[#This Row],[Ha]]</f>
        <v>0</v>
      </c>
      <c r="P11" s="61">
        <f>IFERROR(Tabla14[[#This Row],[Kg Alimento diario ]]/Tabla14[[#This Row],[Ha]],"")</f>
        <v>107.8399212727571</v>
      </c>
      <c r="Q11" s="65">
        <f>IFERROR((Tabla14[[#This Row],[Kg Alimento diario ]])/(Tabla14[[#This Row],[Animales vivos reportados]]/100000),"")</f>
        <v>40.694309914247967</v>
      </c>
      <c r="R11" s="104">
        <v>7</v>
      </c>
      <c r="S11" s="89">
        <f>Tabla14[[#This Row],[Kg/ semanal]]/Tabla14[[#This Row],[Dias alimentados]]</f>
        <v>939.28571428571433</v>
      </c>
      <c r="T11" s="62">
        <f>Tabla14[[#This Row],[Kg Alimento Sugerido]]/Tabla14[[#This Row],[Ha]]</f>
        <v>0</v>
      </c>
      <c r="U11" s="63"/>
      <c r="V11" s="63"/>
      <c r="W11" s="63">
        <f>Tabla14[[#This Row],[Kg Minimo]]/Tabla14[[#This Row],[Ha]]</f>
        <v>0</v>
      </c>
      <c r="X11" s="88">
        <v>11.9</v>
      </c>
      <c r="Y11" s="14">
        <f>IFERROR(Tabla14[[#This Row],[Kg Alimento diario ]]/(Tabla14[[#This Row],[Peso Actual]]/1000*Tabla14[[#This Row],[Animales vivos reportados]]),"")</f>
        <v>3.419689908760333E-2</v>
      </c>
      <c r="Z11" s="6">
        <f>IFERROR(IF($Z$1="NormalCalor",
     VLOOKUP(Tabla14[[#This Row],[Peso Actual]], Tabla!$A$4:$C$76, 2, TRUE)/100,
     VLOOKUP(Tabla14[[#This Row],[Peso Actual]], Tabla!$A$4:$C$76, 3, TRUE)/100),
"")</f>
        <v>5.5E-2</v>
      </c>
      <c r="AA11" s="40">
        <f>IFERROR(IF($AA$1="MinFrio",VLOOKUP(Tabla14[[#This Row],[Peso Actual]],Tabla!$F$3:$H$482,3,1),VLOOKUP(Tabla14[[#This Row],[Peso Actual]],Tabla!$F$3:$H$482,2,1)),"")</f>
        <v>4.7239260083377567E-2</v>
      </c>
      <c r="AB11" s="28">
        <f>+Tabla14[[#This Row],[Biomasa de camaron  ]]/Tabla14[[#This Row],[Ha]]*2.2</f>
        <v>0</v>
      </c>
      <c r="AC11" s="28">
        <f t="shared" si="0"/>
        <v>0</v>
      </c>
      <c r="AD11" s="41">
        <f t="shared" si="0"/>
        <v>0</v>
      </c>
      <c r="AE11" s="28">
        <f>+Tabla14[[#This Row],[Biomasa de Camaron bajo reportado]]*2.2</f>
        <v>60427.367000000006</v>
      </c>
      <c r="AF11" s="28">
        <f>+(Tabla14[[#This Row],[Sobrevivencia total  en finca]]/100)*Tabla14[[#This Row],[Animales vivos reportados]]*Tabla14[[#This Row],[Peso Actual]]/1000</f>
        <v>27466.985000000001</v>
      </c>
      <c r="AG11" s="28">
        <f>+Tabla14[[#This Row],[Biomasa de camaron alimentacion actual]]/Tabla14[[#This Row],[Ha]]*2.2</f>
        <v>4313.5968509102831</v>
      </c>
      <c r="AH11" s="36">
        <f>(Tabla14[[#This Row],[Kg Alimento diario ]]/Tabla14[[#This Row],[BW Sugerida]])</f>
        <v>17077.922077922078</v>
      </c>
      <c r="AI11" s="85">
        <f>(Tabla14[[#This Row],[Kg Minimo]]/Tabla14[[#This Row],[BW(min)]])</f>
        <v>0</v>
      </c>
      <c r="AJ11" s="31">
        <f>Tabla14[[#This Row],[Densidad/ha]]*Tabla14[[#This Row],[Ha]]</f>
        <v>2308150</v>
      </c>
      <c r="AK11" s="29">
        <v>265000</v>
      </c>
      <c r="AL11" s="31">
        <f>Tabla14[[#This Row],[Animales Sembrados]]*Tabla14[[#This Row],[Sobrevivencia total  en finca]]/100</f>
        <v>2308150</v>
      </c>
      <c r="AM11" s="41">
        <f>Tabla14[[#This Row],[Animales vivos reportados]]*Tabla14[[#This Row],[Peso Actual]]/454/Tabla14[[#This Row],[Ha]]</f>
        <v>6946.0352422907481</v>
      </c>
      <c r="AN11" s="28">
        <f xml:space="preserve"> IFERROR(
(Tabla14[[#This Row],[Biomasa de camaron  ]]*1000/Tabla14[[#This Row],[Peso Actual]]),"")</f>
        <v>0</v>
      </c>
      <c r="AO11" s="13">
        <f>IFERROR(((Tabla14[[#This Row],[Biomasa de camaron alimentacion actual]]*1000)/Tabla14[[#This Row],[Peso Actual]]),"")</f>
        <v>1435119.502346393</v>
      </c>
      <c r="AP11" s="42">
        <f>IFERROR( (
(Tabla14[[#This Row],[Biomasa de camaron alimentacion 2]]*1000)/Tabla14[[#This Row],[Peso Actual]]),"")</f>
        <v>0</v>
      </c>
      <c r="AQ11" s="85">
        <v>22</v>
      </c>
      <c r="AR11" s="93">
        <f>IFERROR(Tabla14[[#This Row],[Animales vivos reportados]]/Tabla14[[#This Row],['#AA]],"")</f>
        <v>104915.90909090909</v>
      </c>
      <c r="AS11" s="93">
        <f>IFERROR(((Tabla14[[#This Row],[Lbs/ha      sin Raleo]]*Tabla14[[#This Row],[Ha]])/Tabla14[[#This Row],['#AA]])/2.2046,"")</f>
        <v>1247.3911358966875</v>
      </c>
      <c r="AT11" s="93">
        <v>14</v>
      </c>
      <c r="AU11" s="93">
        <v>16</v>
      </c>
      <c r="AV11" s="106">
        <v>0.65</v>
      </c>
      <c r="AW11" s="107">
        <f>Tabla14[[#This Row],[Hp/AR]]*Tabla14[[#This Row],[%Efi AR]]</f>
        <v>10.4</v>
      </c>
      <c r="AX11" s="107">
        <f>Tabla14[[#This Row],[Hp/Efi]]*Tabla14[[#This Row],['#AR]]</f>
        <v>145.6</v>
      </c>
      <c r="AY11" s="107">
        <f>Tabla14[[#This Row],[Total hp/AR]]/Tabla14[[#This Row],[Ha]]</f>
        <v>16.71641791044776</v>
      </c>
      <c r="AZ11" s="60"/>
      <c r="BA11" s="60"/>
      <c r="BB11" s="16">
        <v>100</v>
      </c>
      <c r="BC11" s="35">
        <f>IFERROR(Tabla14[[#This Row],[Animales vivos reportados]]/Tabla14[[#This Row],[Ha]]/10000,"")</f>
        <v>26.5</v>
      </c>
      <c r="BD11" s="91">
        <f>IFERROR((Tabla14[[#This Row],[CXMT ACTUAL]]*10000*Tabla14[[#This Row],[Ha]])/Tabla14[[#This Row],[Animales Sembrados]],"")</f>
        <v>1</v>
      </c>
      <c r="BE11" s="70">
        <f>IFERROR( Tabla14[[#This Row],[Animales según alimentación actual]]/(Tabla14[[#This Row],[Densidad/ha]]*Tabla14[[#This Row],[Ha]]),"")</f>
        <v>0.62176180159278771</v>
      </c>
      <c r="BF11" s="37"/>
    </row>
    <row r="12" spans="1:59" x14ac:dyDescent="0.35">
      <c r="A12" s="18">
        <v>710</v>
      </c>
      <c r="B12" s="110" t="s">
        <v>95</v>
      </c>
      <c r="C12" s="17">
        <v>8.7100000000000009</v>
      </c>
      <c r="D12" s="83">
        <v>46170</v>
      </c>
      <c r="E12" s="83">
        <f>E11+7</f>
        <v>46185</v>
      </c>
      <c r="F12" s="12">
        <f>Tabla14[[#This Row],[Fecha]]-Tabla14[[#This Row],[Siembra]]</f>
        <v>15</v>
      </c>
      <c r="G12" s="30" t="str">
        <f>IFERROR((((Tabla14[[#This Row],[Kg Alimento diario ]]-Tabla14[[#This Row],[Kg Alimento Sugerido]])/(Tabla14[[#This Row],[Kg Alimento Sugerido]])*100)),"")</f>
        <v/>
      </c>
      <c r="H12" s="64">
        <v>5700</v>
      </c>
      <c r="I12" s="103">
        <f ca="1">IFERROR(
   IF(OFFSET(Tabla14[[#This Row],[Psc]],-1,0)=Tabla14[[#This Row],[Psc]],
      OFFSET(Tabla14[[#This Row],[Bal Acumulado]],-1,0)+Tabla14[[#This Row],[Kg/ semanal]],
      Tabla14[[#This Row],[Kg/ semanal]]
   ),
   Tabla14[[#This Row],[Kg/ semanal]]
)</f>
        <v>12275</v>
      </c>
      <c r="J12" s="38">
        <f ca="1">IFERROR(((Tabla14[[#This Row],[Bal Acumulado]]*2.2046/Tabla14[[#This Row],[Ha]])/L12),"")</f>
        <v>0.35965111610971939</v>
      </c>
      <c r="K12" s="68">
        <f>Tabla14[[#This Row],[Animales vivos reportados]]*Tabla14[[#This Row],[Peso Actual]]/454/Tabla14[[#This Row],[Ha]]</f>
        <v>8638.7665198237864</v>
      </c>
      <c r="L12" s="64">
        <f>Tabla14[[#This Row],[Animales vivos reportados]]*Tabla14[[#This Row],[Peso Actual]]/454/Tabla14[[#This Row],[Ha]]+O10</f>
        <v>8638.7665198237864</v>
      </c>
      <c r="M12" s="68"/>
      <c r="N12" s="68"/>
      <c r="O12" s="68">
        <f>Tabla14[[#This Row],[Raleo/total]]/Tabla14[[#This Row],[Ha]]</f>
        <v>0</v>
      </c>
      <c r="P12" s="61">
        <f>IFERROR(Tabla14[[#This Row],[Kg Alimento diario ]]/Tabla14[[#This Row],[Ha]],"")</f>
        <v>93.488600951287509</v>
      </c>
      <c r="Q12" s="65">
        <f>IFERROR((Tabla14[[#This Row],[Kg Alimento diario ]])/(Tabla14[[#This Row],[Animales vivos reportados]]/100000),"")</f>
        <v>35.2787173401085</v>
      </c>
      <c r="R12" s="104">
        <v>7</v>
      </c>
      <c r="S12" s="89">
        <f>Tabla14[[#This Row],[Kg/ semanal]]/Tabla14[[#This Row],[Dias alimentados]]</f>
        <v>814.28571428571433</v>
      </c>
      <c r="T12" s="62">
        <f>Tabla14[[#This Row],[Kg Alimento Sugerido]]/Tabla14[[#This Row],[Ha]]</f>
        <v>0</v>
      </c>
      <c r="U12" s="63"/>
      <c r="V12" s="63"/>
      <c r="W12" s="63">
        <f>Tabla14[[#This Row],[Kg Minimo]]/Tabla14[[#This Row],[Ha]]</f>
        <v>0</v>
      </c>
      <c r="X12" s="88">
        <v>14.8</v>
      </c>
      <c r="Y12" s="14">
        <f>IFERROR(Tabla14[[#This Row],[Kg Alimento diario ]]/(Tabla14[[#This Row],[Peso Actual]]/1000*Tabla14[[#This Row],[Animales vivos reportados]]),"")</f>
        <v>2.3836971175748983E-2</v>
      </c>
      <c r="Z12" s="6">
        <f>IFERROR(IF($Z$1="NormalCalor",
     VLOOKUP(Tabla14[[#This Row],[Peso Actual]], Tabla!$A$4:$C$76, 2, TRUE)/100,
     VLOOKUP(Tabla14[[#This Row],[Peso Actual]], Tabla!$A$4:$C$76, 3, TRUE)/100),
"")</f>
        <v>4.9000000000000002E-2</v>
      </c>
      <c r="AA12" s="40">
        <f>IFERROR(IF($AA$1="MinFrio",VLOOKUP(Tabla14[[#This Row],[Peso Actual]],Tabla!$F$3:$H$482,3,1),VLOOKUP(Tabla14[[#This Row],[Peso Actual]],Tabla!$F$3:$H$482,2,1)),"")</f>
        <v>4.3026269487217716E-2</v>
      </c>
      <c r="AB12" s="28">
        <f>+Tabla14[[#This Row],[Biomasa de camaron  ]]/Tabla14[[#This Row],[Ha]]*2.2</f>
        <v>0</v>
      </c>
      <c r="AC12" s="28">
        <f t="shared" ref="AC12:AD17" si="1">U12/Z12</f>
        <v>0</v>
      </c>
      <c r="AD12" s="41">
        <f t="shared" si="1"/>
        <v>0</v>
      </c>
      <c r="AE12" s="28">
        <f>+Tabla14[[#This Row],[Biomasa de Camaron bajo reportado]]*2.2</f>
        <v>75153.364000000016</v>
      </c>
      <c r="AF12" s="28">
        <f>+(Tabla14[[#This Row],[Sobrevivencia total  en finca]]/100)*Tabla14[[#This Row],[Animales vivos reportados]]*Tabla14[[#This Row],[Peso Actual]]/1000</f>
        <v>34160.620000000003</v>
      </c>
      <c r="AG12" s="28">
        <f>+Tabla14[[#This Row],[Biomasa de camaron alimentacion actual]]/Tabla14[[#This Row],[Ha]]*2.2</f>
        <v>4197.4473896496429</v>
      </c>
      <c r="AH12" s="36">
        <f>(Tabla14[[#This Row],[Kg Alimento diario ]]/Tabla14[[#This Row],[BW Sugerida]])</f>
        <v>16618.07580174927</v>
      </c>
      <c r="AI12" s="85">
        <f>(Tabla14[[#This Row],[Kg Minimo]]/Tabla14[[#This Row],[BW(min)]])</f>
        <v>0</v>
      </c>
      <c r="AJ12" s="31">
        <f>Tabla14[[#This Row],[Densidad/ha]]*Tabla14[[#This Row],[Ha]]</f>
        <v>2308150</v>
      </c>
      <c r="AK12" s="29">
        <v>265000</v>
      </c>
      <c r="AL12" s="31">
        <f>Tabla14[[#This Row],[Animales Sembrados]]*Tabla14[[#This Row],[Sobrevivencia total  en finca]]/100</f>
        <v>2308150</v>
      </c>
      <c r="AM12" s="41">
        <f>Tabla14[[#This Row],[Animales vivos reportados]]*Tabla14[[#This Row],[Peso Actual]]/454/Tabla14[[#This Row],[Ha]]</f>
        <v>8638.7665198237864</v>
      </c>
      <c r="AN12" s="28">
        <f xml:space="preserve"> IFERROR(
(Tabla14[[#This Row],[Biomasa de camaron  ]]*1000/Tabla14[[#This Row],[Peso Actual]]),"")</f>
        <v>0</v>
      </c>
      <c r="AO12" s="13">
        <f>IFERROR(((Tabla14[[#This Row],[Biomasa de camaron alimentacion actual]]*1000)/Tabla14[[#This Row],[Peso Actual]]),"")</f>
        <v>1122842.9595776533</v>
      </c>
      <c r="AP12" s="42">
        <f>IFERROR( (
(Tabla14[[#This Row],[Biomasa de camaron alimentacion 2]]*1000)/Tabla14[[#This Row],[Peso Actual]]),"")</f>
        <v>0</v>
      </c>
      <c r="AQ12" s="85">
        <v>22</v>
      </c>
      <c r="AR12" s="93">
        <f>IFERROR(Tabla14[[#This Row],[Animales vivos reportados]]/Tabla14[[#This Row],['#AA]],"")</f>
        <v>104915.90909090909</v>
      </c>
      <c r="AS12" s="93">
        <f>IFERROR(((Tabla14[[#This Row],[Lbs/ha      sin Raleo]]*Tabla14[[#This Row],[Ha]])/Tabla14[[#This Row],['#AA]])/2.2046,"")</f>
        <v>1551.3772110311743</v>
      </c>
      <c r="AT12" s="93">
        <v>14</v>
      </c>
      <c r="AU12" s="93">
        <v>16</v>
      </c>
      <c r="AV12" s="106">
        <v>0.65</v>
      </c>
      <c r="AW12" s="93">
        <f>Tabla14[[#This Row],[Hp/AR]]*Tabla14[[#This Row],[%Efi AR]]</f>
        <v>10.4</v>
      </c>
      <c r="AX12" s="93">
        <f>Tabla14[[#This Row],[Hp/Efi]]*Tabla14[[#This Row],['#AR]]</f>
        <v>145.6</v>
      </c>
      <c r="AY12" s="107">
        <f>Tabla14[[#This Row],[Total hp/AR]]/Tabla14[[#This Row],[Ha]]</f>
        <v>16.71641791044776</v>
      </c>
      <c r="AZ12" s="60">
        <f>IF(Tabla14[[#This Row],[Peso Actual]]&gt;X11,Tabla14[[#This Row],[Peso Actual]]-X11,"")</f>
        <v>2.9000000000000004</v>
      </c>
      <c r="BA12" s="60"/>
      <c r="BB12" s="16">
        <v>100</v>
      </c>
      <c r="BC12" s="35">
        <f>IFERROR(Tabla14[[#This Row],[Animales vivos reportados]]/Tabla14[[#This Row],[Ha]]/10000,"")</f>
        <v>26.5</v>
      </c>
      <c r="BD12" s="91">
        <f>IFERROR((Tabla14[[#This Row],[CXMT ACTUAL]]*10000*Tabla14[[#This Row],[Ha]])/Tabla14[[#This Row],[Animales Sembrados]],"")</f>
        <v>1</v>
      </c>
      <c r="BE12" s="70">
        <f>IFERROR( Tabla14[[#This Row],[Animales según alimentación actual]]/(Tabla14[[#This Row],[Densidad/ha]]*Tabla14[[#This Row],[Ha]]),"")</f>
        <v>0.48646879950508126</v>
      </c>
      <c r="BF12" s="37"/>
    </row>
    <row r="13" spans="1:59" x14ac:dyDescent="0.35">
      <c r="A13" s="18">
        <v>710</v>
      </c>
      <c r="B13" s="110" t="s">
        <v>95</v>
      </c>
      <c r="C13" s="17">
        <v>8.7100000000000009</v>
      </c>
      <c r="D13" s="83">
        <v>46170</v>
      </c>
      <c r="E13" s="83">
        <f t="shared" ref="E13:E17" si="2">E12+7</f>
        <v>46192</v>
      </c>
      <c r="F13" s="12">
        <f>Tabla14[[#This Row],[Fecha]]-Tabla14[[#This Row],[Siembra]]</f>
        <v>22</v>
      </c>
      <c r="G13" s="30" t="str">
        <f>IFERROR((((Tabla14[[#This Row],[Kg Alimento diario ]]-Tabla14[[#This Row],[Kg Alimento Sugerido]])/(Tabla14[[#This Row],[Kg Alimento Sugerido]])*100)),"")</f>
        <v/>
      </c>
      <c r="H13" s="64"/>
      <c r="I13" s="103">
        <f ca="1">IFERROR(
   IF(OFFSET(Tabla14[[#This Row],[Psc]],-1,0)=Tabla14[[#This Row],[Psc]],
      OFFSET(Tabla14[[#This Row],[Bal Acumulado]],-1,0)+Tabla14[[#This Row],[Kg/ semanal]],
      Tabla14[[#This Row],[Kg/ semanal]]
   ),
   Tabla14[[#This Row],[Kg/ semanal]]
)</f>
        <v>12275</v>
      </c>
      <c r="J13" s="38" t="str">
        <f ca="1">IFERROR(((Tabla14[[#This Row],[Bal Acumulado]]*2.2046/Tabla14[[#This Row],[Ha]])/L13),"")</f>
        <v/>
      </c>
      <c r="K13" s="68">
        <f>Tabla14[[#This Row],[Animales vivos reportados]]*Tabla14[[#This Row],[Peso Actual]]/454/Tabla14[[#This Row],[Ha]]</f>
        <v>0</v>
      </c>
      <c r="L13" s="64">
        <f>Tabla14[[#This Row],[Animales vivos reportados]]*Tabla14[[#This Row],[Peso Actual]]/454/Tabla14[[#This Row],[Ha]]+O11</f>
        <v>0</v>
      </c>
      <c r="M13" s="68"/>
      <c r="N13" s="68"/>
      <c r="O13" s="68">
        <f>Tabla14[[#This Row],[Raleo/total]]/Tabla14[[#This Row],[Ha]]</f>
        <v>0</v>
      </c>
      <c r="P13" s="61">
        <f>IFERROR(Tabla14[[#This Row],[Kg Alimento diario ]]/Tabla14[[#This Row],[Ha]],"")</f>
        <v>0</v>
      </c>
      <c r="Q13" s="65">
        <f>IFERROR((Tabla14[[#This Row],[Kg Alimento diario ]])/(Tabla14[[#This Row],[Animales vivos reportados]]/100000),"")</f>
        <v>0</v>
      </c>
      <c r="R13" s="104">
        <v>7</v>
      </c>
      <c r="S13" s="89">
        <f>Tabla14[[#This Row],[Kg/ semanal]]/Tabla14[[#This Row],[Dias alimentados]]</f>
        <v>0</v>
      </c>
      <c r="T13" s="62">
        <f>Tabla14[[#This Row],[Kg Alimento Sugerido]]/Tabla14[[#This Row],[Ha]]</f>
        <v>0</v>
      </c>
      <c r="U13" s="63"/>
      <c r="V13" s="63"/>
      <c r="W13" s="63">
        <f>Tabla14[[#This Row],[Kg Minimo]]/Tabla14[[#This Row],[Ha]]</f>
        <v>0</v>
      </c>
      <c r="X13" s="88"/>
      <c r="Y13" s="14" t="str">
        <f>IFERROR(Tabla14[[#This Row],[Kg Alimento diario ]]/(Tabla14[[#This Row],[Peso Actual]]/1000*Tabla14[[#This Row],[Animales vivos reportados]]),"")</f>
        <v/>
      </c>
      <c r="Z13" s="6" t="str">
        <f>IFERROR(IF($Z$1="NormalCalor",
     VLOOKUP(Tabla14[[#This Row],[Peso Actual]], Tabla!$A$4:$C$76, 2, TRUE)/100,
     VLOOKUP(Tabla14[[#This Row],[Peso Actual]], Tabla!$A$4:$C$76, 3, TRUE)/100),
"")</f>
        <v/>
      </c>
      <c r="AA13" s="40" t="str">
        <f>IFERROR(IF($AA$1="MinFrio",VLOOKUP(Tabla14[[#This Row],[Peso Actual]],Tabla!$F$3:$H$482,3,1),VLOOKUP(Tabla14[[#This Row],[Peso Actual]],Tabla!$F$3:$H$482,2,1)),"")</f>
        <v/>
      </c>
      <c r="AB13" s="28" t="e">
        <f>+Tabla14[[#This Row],[Biomasa de camaron  ]]/Tabla14[[#This Row],[Ha]]*2.2</f>
        <v>#VALUE!</v>
      </c>
      <c r="AC13" s="28" t="e">
        <f t="shared" si="1"/>
        <v>#VALUE!</v>
      </c>
      <c r="AD13" s="41" t="e">
        <f t="shared" si="1"/>
        <v>#VALUE!</v>
      </c>
      <c r="AE13" s="28">
        <f>+Tabla14[[#This Row],[Biomasa de Camaron bajo reportado]]*2.2</f>
        <v>0</v>
      </c>
      <c r="AF13" s="28">
        <f>+(Tabla14[[#This Row],[Sobrevivencia total  en finca]]/100)*Tabla14[[#This Row],[Animales vivos reportados]]*Tabla14[[#This Row],[Peso Actual]]/1000</f>
        <v>0</v>
      </c>
      <c r="AG13" s="28" t="e">
        <f>+Tabla14[[#This Row],[Biomasa de camaron alimentacion actual]]/Tabla14[[#This Row],[Ha]]*2.2</f>
        <v>#VALUE!</v>
      </c>
      <c r="AH13" s="36" t="e">
        <f>(Tabla14[[#This Row],[Kg Alimento diario ]]/Tabla14[[#This Row],[BW Sugerida]])</f>
        <v>#VALUE!</v>
      </c>
      <c r="AI13" s="85" t="e">
        <f>(Tabla14[[#This Row],[Kg Minimo]]/Tabla14[[#This Row],[BW(min)]])</f>
        <v>#VALUE!</v>
      </c>
      <c r="AJ13" s="31">
        <f>Tabla14[[#This Row],[Densidad/ha]]*Tabla14[[#This Row],[Ha]]</f>
        <v>2308150</v>
      </c>
      <c r="AK13" s="29">
        <v>265000</v>
      </c>
      <c r="AL13" s="31">
        <f>Tabla14[[#This Row],[Animales Sembrados]]*Tabla14[[#This Row],[Sobrevivencia total  en finca]]/100</f>
        <v>2308150</v>
      </c>
      <c r="AM13" s="41">
        <f>Tabla14[[#This Row],[Animales vivos reportados]]*Tabla14[[#This Row],[Peso Actual]]/454/Tabla14[[#This Row],[Ha]]</f>
        <v>0</v>
      </c>
      <c r="AN13" s="28" t="str">
        <f xml:space="preserve"> IFERROR(
(Tabla14[[#This Row],[Biomasa de camaron  ]]*1000/Tabla14[[#This Row],[Peso Actual]]),"")</f>
        <v/>
      </c>
      <c r="AO13" s="13" t="str">
        <f>IFERROR(((Tabla14[[#This Row],[Biomasa de camaron alimentacion actual]]*1000)/Tabla14[[#This Row],[Peso Actual]]),"")</f>
        <v/>
      </c>
      <c r="AP13" s="42" t="str">
        <f>IFERROR( (
(Tabla14[[#This Row],[Biomasa de camaron alimentacion 2]]*1000)/Tabla14[[#This Row],[Peso Actual]]),"")</f>
        <v/>
      </c>
      <c r="AQ13" s="85">
        <v>22</v>
      </c>
      <c r="AR13" s="93">
        <f>IFERROR(Tabla14[[#This Row],[Animales vivos reportados]]/Tabla14[[#This Row],['#AA]],"")</f>
        <v>104915.90909090909</v>
      </c>
      <c r="AS13" s="93">
        <f>IFERROR(((Tabla14[[#This Row],[Lbs/ha      sin Raleo]]*Tabla14[[#This Row],[Ha]])/Tabla14[[#This Row],['#AA]])/2.2046,"")</f>
        <v>0</v>
      </c>
      <c r="AT13" s="93">
        <v>14</v>
      </c>
      <c r="AU13" s="93">
        <v>16</v>
      </c>
      <c r="AV13" s="106">
        <v>0.65</v>
      </c>
      <c r="AW13" s="93">
        <f>Tabla14[[#This Row],[Hp/AR]]*Tabla14[[#This Row],[%Efi AR]]</f>
        <v>10.4</v>
      </c>
      <c r="AX13" s="93">
        <f>Tabla14[[#This Row],[Hp/Efi]]*Tabla14[[#This Row],['#AR]]</f>
        <v>145.6</v>
      </c>
      <c r="AY13" s="107">
        <f>Tabla14[[#This Row],[Total hp/AR]]/Tabla14[[#This Row],[Ha]]</f>
        <v>16.71641791044776</v>
      </c>
      <c r="AZ13" s="60"/>
      <c r="BA13" s="60"/>
      <c r="BB13" s="16">
        <v>100</v>
      </c>
      <c r="BC13" s="35">
        <f>IFERROR(Tabla14[[#This Row],[Animales vivos reportados]]/Tabla14[[#This Row],[Ha]]/10000,"")</f>
        <v>26.5</v>
      </c>
      <c r="BD13" s="91">
        <f>IFERROR((Tabla14[[#This Row],[CXMT ACTUAL]]*10000*Tabla14[[#This Row],[Ha]])/Tabla14[[#This Row],[Animales Sembrados]],"")</f>
        <v>1</v>
      </c>
      <c r="BE13" s="70" t="str">
        <f>IFERROR( Tabla14[[#This Row],[Animales según alimentación actual]]/(Tabla14[[#This Row],[Densidad/ha]]*Tabla14[[#This Row],[Ha]]),"")</f>
        <v/>
      </c>
      <c r="BF13" s="37"/>
    </row>
    <row r="14" spans="1:59" x14ac:dyDescent="0.35">
      <c r="A14" s="18">
        <v>710</v>
      </c>
      <c r="B14" s="110" t="s">
        <v>95</v>
      </c>
      <c r="C14" s="17">
        <v>8.7100000000000009</v>
      </c>
      <c r="D14" s="83">
        <v>46170</v>
      </c>
      <c r="E14" s="83">
        <f t="shared" si="2"/>
        <v>46199</v>
      </c>
      <c r="F14" s="12">
        <f>Tabla14[[#This Row],[Fecha]]-Tabla14[[#This Row],[Siembra]]</f>
        <v>29</v>
      </c>
      <c r="G14" s="30" t="str">
        <f>IFERROR((((Tabla14[[#This Row],[Kg Alimento diario ]]-Tabla14[[#This Row],[Kg Alimento Sugerido]])/(Tabla14[[#This Row],[Kg Alimento Sugerido]])*100)),"")</f>
        <v/>
      </c>
      <c r="H14" s="64"/>
      <c r="I14" s="103">
        <f ca="1">IFERROR(
   IF(OFFSET(Tabla14[[#This Row],[Psc]],-1,0)=Tabla14[[#This Row],[Psc]],
      OFFSET(Tabla14[[#This Row],[Bal Acumulado]],-1,0)+Tabla14[[#This Row],[Kg/ semanal]],
      Tabla14[[#This Row],[Kg/ semanal]]
   ),
   Tabla14[[#This Row],[Kg/ semanal]]
)</f>
        <v>12275</v>
      </c>
      <c r="J14" s="38" t="str">
        <f ca="1">IFERROR(((Tabla14[[#This Row],[Bal Acumulado]]*2.2046/Tabla14[[#This Row],[Ha]])/L14),"")</f>
        <v/>
      </c>
      <c r="K14" s="68">
        <f>Tabla14[[#This Row],[Animales vivos reportados]]*Tabla14[[#This Row],[Peso Actual]]/454/Tabla14[[#This Row],[Ha]]</f>
        <v>0</v>
      </c>
      <c r="L14" s="64">
        <f>Tabla14[[#This Row],[Animales vivos reportados]]*Tabla14[[#This Row],[Peso Actual]]/454/Tabla14[[#This Row],[Ha]]+O12</f>
        <v>0</v>
      </c>
      <c r="M14" s="68"/>
      <c r="N14" s="68"/>
      <c r="O14" s="68">
        <f>Tabla14[[#This Row],[Raleo/total]]/Tabla14[[#This Row],[Ha]]</f>
        <v>0</v>
      </c>
      <c r="P14" s="61">
        <f>IFERROR(Tabla14[[#This Row],[Kg Alimento diario ]]/Tabla14[[#This Row],[Ha]],"")</f>
        <v>0</v>
      </c>
      <c r="Q14" s="65">
        <f>IFERROR((Tabla14[[#This Row],[Kg Alimento diario ]])/(Tabla14[[#This Row],[Animales vivos reportados]]/100000),"")</f>
        <v>0</v>
      </c>
      <c r="R14" s="104">
        <v>7</v>
      </c>
      <c r="S14" s="89">
        <f>Tabla14[[#This Row],[Kg/ semanal]]/Tabla14[[#This Row],[Dias alimentados]]</f>
        <v>0</v>
      </c>
      <c r="T14" s="62">
        <f>Tabla14[[#This Row],[Kg Alimento Sugerido]]/Tabla14[[#This Row],[Ha]]</f>
        <v>0</v>
      </c>
      <c r="U14" s="63"/>
      <c r="V14" s="63"/>
      <c r="W14" s="63">
        <f>Tabla14[[#This Row],[Kg Minimo]]/Tabla14[[#This Row],[Ha]]</f>
        <v>0</v>
      </c>
      <c r="X14" s="88"/>
      <c r="Y14" s="14" t="str">
        <f>IFERROR(Tabla14[[#This Row],[Kg Alimento diario ]]/(Tabla14[[#This Row],[Peso Actual]]/1000*Tabla14[[#This Row],[Animales vivos reportados]]),"")</f>
        <v/>
      </c>
      <c r="Z14" s="6" t="str">
        <f>IFERROR(IF($Z$1="NormalCalor",
     VLOOKUP(Tabla14[[#This Row],[Peso Actual]], Tabla!$A$4:$C$76, 2, TRUE)/100,
     VLOOKUP(Tabla14[[#This Row],[Peso Actual]], Tabla!$A$4:$C$76, 3, TRUE)/100),
"")</f>
        <v/>
      </c>
      <c r="AA14" s="40" t="str">
        <f>IFERROR(IF($AA$1="MinFrio",VLOOKUP(Tabla14[[#This Row],[Peso Actual]],Tabla!$F$3:$H$482,3,1),VLOOKUP(Tabla14[[#This Row],[Peso Actual]],Tabla!$F$3:$H$482,2,1)),"")</f>
        <v/>
      </c>
      <c r="AB14" s="28" t="e">
        <f>+Tabla14[[#This Row],[Biomasa de camaron  ]]/Tabla14[[#This Row],[Ha]]*2.2</f>
        <v>#VALUE!</v>
      </c>
      <c r="AC14" s="28" t="e">
        <f t="shared" si="1"/>
        <v>#VALUE!</v>
      </c>
      <c r="AD14" s="41" t="e">
        <f t="shared" si="1"/>
        <v>#VALUE!</v>
      </c>
      <c r="AE14" s="28">
        <f>+Tabla14[[#This Row],[Biomasa de Camaron bajo reportado]]*2.2</f>
        <v>0</v>
      </c>
      <c r="AF14" s="28">
        <f>+(Tabla14[[#This Row],[Sobrevivencia total  en finca]]/100)*Tabla14[[#This Row],[Animales vivos reportados]]*Tabla14[[#This Row],[Peso Actual]]/1000</f>
        <v>0</v>
      </c>
      <c r="AG14" s="28" t="e">
        <f>+Tabla14[[#This Row],[Biomasa de camaron alimentacion actual]]/Tabla14[[#This Row],[Ha]]*2.2</f>
        <v>#VALUE!</v>
      </c>
      <c r="AH14" s="36" t="e">
        <f>(Tabla14[[#This Row],[Kg Alimento diario ]]/Tabla14[[#This Row],[BW Sugerida]])</f>
        <v>#VALUE!</v>
      </c>
      <c r="AI14" s="85" t="e">
        <f>(Tabla14[[#This Row],[Kg Minimo]]/Tabla14[[#This Row],[BW(min)]])</f>
        <v>#VALUE!</v>
      </c>
      <c r="AJ14" s="31">
        <f>Tabla14[[#This Row],[Densidad/ha]]*Tabla14[[#This Row],[Ha]]</f>
        <v>2308150</v>
      </c>
      <c r="AK14" s="29">
        <v>265000</v>
      </c>
      <c r="AL14" s="31">
        <f>Tabla14[[#This Row],[Animales Sembrados]]*Tabla14[[#This Row],[Sobrevivencia total  en finca]]/100</f>
        <v>2308150</v>
      </c>
      <c r="AM14" s="41">
        <f>Tabla14[[#This Row],[Animales vivos reportados]]*Tabla14[[#This Row],[Peso Actual]]/454/Tabla14[[#This Row],[Ha]]</f>
        <v>0</v>
      </c>
      <c r="AN14" s="28" t="str">
        <f xml:space="preserve"> IFERROR(
(Tabla14[[#This Row],[Biomasa de camaron  ]]*1000/Tabla14[[#This Row],[Peso Actual]]),"")</f>
        <v/>
      </c>
      <c r="AO14" s="13" t="str">
        <f>IFERROR(((Tabla14[[#This Row],[Biomasa de camaron alimentacion actual]]*1000)/Tabla14[[#This Row],[Peso Actual]]),"")</f>
        <v/>
      </c>
      <c r="AP14" s="42" t="str">
        <f>IFERROR( (
(Tabla14[[#This Row],[Biomasa de camaron alimentacion 2]]*1000)/Tabla14[[#This Row],[Peso Actual]]),"")</f>
        <v/>
      </c>
      <c r="AQ14" s="85">
        <v>22</v>
      </c>
      <c r="AR14" s="93">
        <f>IFERROR(Tabla14[[#This Row],[Animales vivos reportados]]/Tabla14[[#This Row],['#AA]],"")</f>
        <v>104915.90909090909</v>
      </c>
      <c r="AS14" s="93">
        <f>IFERROR(((Tabla14[[#This Row],[Lbs/ha      sin Raleo]]*Tabla14[[#This Row],[Ha]])/Tabla14[[#This Row],['#AA]])/2.2046,"")</f>
        <v>0</v>
      </c>
      <c r="AT14" s="93">
        <v>14</v>
      </c>
      <c r="AU14" s="93">
        <v>16</v>
      </c>
      <c r="AV14" s="106">
        <v>0.65</v>
      </c>
      <c r="AW14" s="93">
        <f>Tabla14[[#This Row],[Hp/AR]]*Tabla14[[#This Row],[%Efi AR]]</f>
        <v>10.4</v>
      </c>
      <c r="AX14" s="93">
        <f>Tabla14[[#This Row],[Hp/Efi]]*Tabla14[[#This Row],['#AR]]</f>
        <v>145.6</v>
      </c>
      <c r="AY14" s="107">
        <f>Tabla14[[#This Row],[Total hp/AR]]/Tabla14[[#This Row],[Ha]]</f>
        <v>16.71641791044776</v>
      </c>
      <c r="AZ14" s="60"/>
      <c r="BA14" s="60"/>
      <c r="BB14" s="16">
        <v>100</v>
      </c>
      <c r="BC14" s="35">
        <f>IFERROR(Tabla14[[#This Row],[Animales vivos reportados]]/Tabla14[[#This Row],[Ha]]/10000,"")</f>
        <v>26.5</v>
      </c>
      <c r="BD14" s="91">
        <f>IFERROR((Tabla14[[#This Row],[CXMT ACTUAL]]*10000*Tabla14[[#This Row],[Ha]])/Tabla14[[#This Row],[Animales Sembrados]],"")</f>
        <v>1</v>
      </c>
      <c r="BE14" s="70" t="str">
        <f>IFERROR( Tabla14[[#This Row],[Animales según alimentación actual]]/(Tabla14[[#This Row],[Densidad/ha]]*Tabla14[[#This Row],[Ha]]),"")</f>
        <v/>
      </c>
      <c r="BF14" s="37"/>
    </row>
    <row r="15" spans="1:59" x14ac:dyDescent="0.35">
      <c r="A15" s="18">
        <v>710</v>
      </c>
      <c r="B15" s="110" t="s">
        <v>95</v>
      </c>
      <c r="C15" s="17">
        <v>8.7100000000000009</v>
      </c>
      <c r="D15" s="83">
        <v>46170</v>
      </c>
      <c r="E15" s="83">
        <f t="shared" si="2"/>
        <v>46206</v>
      </c>
      <c r="F15" s="12">
        <f>Tabla14[[#This Row],[Fecha]]-Tabla14[[#This Row],[Siembra]]</f>
        <v>36</v>
      </c>
      <c r="G15" s="30" t="str">
        <f>IFERROR((((Tabla14[[#This Row],[Kg Alimento diario ]]-Tabla14[[#This Row],[Kg Alimento Sugerido]])/(Tabla14[[#This Row],[Kg Alimento Sugerido]])*100)),"")</f>
        <v/>
      </c>
      <c r="H15" s="64"/>
      <c r="I15" s="103">
        <f ca="1">IFERROR(
   IF(OFFSET(Tabla14[[#This Row],[Psc]],-1,0)=Tabla14[[#This Row],[Psc]],
      OFFSET(Tabla14[[#This Row],[Bal Acumulado]],-1,0)+Tabla14[[#This Row],[Kg/ semanal]],
      Tabla14[[#This Row],[Kg/ semanal]]
   ),
   Tabla14[[#This Row],[Kg/ semanal]]
)</f>
        <v>12275</v>
      </c>
      <c r="J15" s="38" t="str">
        <f ca="1">IFERROR(((Tabla14[[#This Row],[Bal Acumulado]]*2.2046/Tabla14[[#This Row],[Ha]])/L15),"")</f>
        <v/>
      </c>
      <c r="K15" s="68">
        <f>Tabla14[[#This Row],[Animales vivos reportados]]*Tabla14[[#This Row],[Peso Actual]]/454/Tabla14[[#This Row],[Ha]]</f>
        <v>0</v>
      </c>
      <c r="L15" s="64">
        <f>Tabla14[[#This Row],[Animales vivos reportados]]*Tabla14[[#This Row],[Peso Actual]]/454/Tabla14[[#This Row],[Ha]]+O13</f>
        <v>0</v>
      </c>
      <c r="M15" s="68"/>
      <c r="N15" s="68"/>
      <c r="O15" s="68">
        <f>Tabla14[[#This Row],[Raleo/total]]/Tabla14[[#This Row],[Ha]]</f>
        <v>0</v>
      </c>
      <c r="P15" s="61">
        <f>IFERROR(Tabla14[[#This Row],[Kg Alimento diario ]]/Tabla14[[#This Row],[Ha]],"")</f>
        <v>0</v>
      </c>
      <c r="Q15" s="65">
        <f>IFERROR((Tabla14[[#This Row],[Kg Alimento diario ]])/(Tabla14[[#This Row],[Animales vivos reportados]]/100000),"")</f>
        <v>0</v>
      </c>
      <c r="R15" s="104">
        <v>7</v>
      </c>
      <c r="S15" s="89">
        <f>Tabla14[[#This Row],[Kg/ semanal]]/Tabla14[[#This Row],[Dias alimentados]]</f>
        <v>0</v>
      </c>
      <c r="T15" s="62">
        <f>Tabla14[[#This Row],[Kg Alimento Sugerido]]/Tabla14[[#This Row],[Ha]]</f>
        <v>0</v>
      </c>
      <c r="U15" s="63"/>
      <c r="V15" s="63"/>
      <c r="W15" s="63">
        <f>Tabla14[[#This Row],[Kg Minimo]]/Tabla14[[#This Row],[Ha]]</f>
        <v>0</v>
      </c>
      <c r="X15" s="88"/>
      <c r="Y15" s="14" t="str">
        <f>IFERROR(Tabla14[[#This Row],[Kg Alimento diario ]]/(Tabla14[[#This Row],[Peso Actual]]/1000*Tabla14[[#This Row],[Animales vivos reportados]]),"")</f>
        <v/>
      </c>
      <c r="Z15" s="6" t="str">
        <f>IFERROR(IF($Z$1="NormalCalor",
     VLOOKUP(Tabla14[[#This Row],[Peso Actual]], Tabla!$A$4:$C$76, 2, TRUE)/100,
     VLOOKUP(Tabla14[[#This Row],[Peso Actual]], Tabla!$A$4:$C$76, 3, TRUE)/100),
"")</f>
        <v/>
      </c>
      <c r="AA15" s="40" t="str">
        <f>IFERROR(IF($AA$1="MinFrio",VLOOKUP(Tabla14[[#This Row],[Peso Actual]],Tabla!$F$3:$H$482,3,1),VLOOKUP(Tabla14[[#This Row],[Peso Actual]],Tabla!$F$3:$H$482,2,1)),"")</f>
        <v/>
      </c>
      <c r="AB15" s="28" t="e">
        <f>+Tabla14[[#This Row],[Biomasa de camaron  ]]/Tabla14[[#This Row],[Ha]]*2.2</f>
        <v>#VALUE!</v>
      </c>
      <c r="AC15" s="28" t="e">
        <f t="shared" si="1"/>
        <v>#VALUE!</v>
      </c>
      <c r="AD15" s="41" t="e">
        <f t="shared" si="1"/>
        <v>#VALUE!</v>
      </c>
      <c r="AE15" s="28">
        <f>+Tabla14[[#This Row],[Biomasa de Camaron bajo reportado]]*2.2</f>
        <v>0</v>
      </c>
      <c r="AF15" s="28">
        <f>+(Tabla14[[#This Row],[Sobrevivencia total  en finca]]/100)*Tabla14[[#This Row],[Animales vivos reportados]]*Tabla14[[#This Row],[Peso Actual]]/1000</f>
        <v>0</v>
      </c>
      <c r="AG15" s="28" t="e">
        <f>+Tabla14[[#This Row],[Biomasa de camaron alimentacion actual]]/Tabla14[[#This Row],[Ha]]*2.2</f>
        <v>#VALUE!</v>
      </c>
      <c r="AH15" s="36" t="e">
        <f>(Tabla14[[#This Row],[Kg Alimento diario ]]/Tabla14[[#This Row],[BW Sugerida]])</f>
        <v>#VALUE!</v>
      </c>
      <c r="AI15" s="85" t="e">
        <f>(Tabla14[[#This Row],[Kg Minimo]]/Tabla14[[#This Row],[BW(min)]])</f>
        <v>#VALUE!</v>
      </c>
      <c r="AJ15" s="31">
        <f>Tabla14[[#This Row],[Densidad/ha]]*Tabla14[[#This Row],[Ha]]</f>
        <v>2308150</v>
      </c>
      <c r="AK15" s="29">
        <v>265000</v>
      </c>
      <c r="AL15" s="31">
        <f>Tabla14[[#This Row],[Animales Sembrados]]*Tabla14[[#This Row],[Sobrevivencia total  en finca]]/100</f>
        <v>2308150</v>
      </c>
      <c r="AM15" s="41">
        <f>Tabla14[[#This Row],[Animales vivos reportados]]*Tabla14[[#This Row],[Peso Actual]]/454/Tabla14[[#This Row],[Ha]]</f>
        <v>0</v>
      </c>
      <c r="AN15" s="28" t="str">
        <f xml:space="preserve"> IFERROR(
(Tabla14[[#This Row],[Biomasa de camaron  ]]*1000/Tabla14[[#This Row],[Peso Actual]]),"")</f>
        <v/>
      </c>
      <c r="AO15" s="13" t="str">
        <f>IFERROR(((Tabla14[[#This Row],[Biomasa de camaron alimentacion actual]]*1000)/Tabla14[[#This Row],[Peso Actual]]),"")</f>
        <v/>
      </c>
      <c r="AP15" s="42" t="str">
        <f>IFERROR( (
(Tabla14[[#This Row],[Biomasa de camaron alimentacion 2]]*1000)/Tabla14[[#This Row],[Peso Actual]]),"")</f>
        <v/>
      </c>
      <c r="AQ15" s="85">
        <v>22</v>
      </c>
      <c r="AR15" s="93">
        <f>IFERROR(Tabla14[[#This Row],[Animales vivos reportados]]/Tabla14[[#This Row],['#AA]],"")</f>
        <v>104915.90909090909</v>
      </c>
      <c r="AS15" s="93">
        <f>IFERROR(((Tabla14[[#This Row],[Lbs/ha      sin Raleo]]*Tabla14[[#This Row],[Ha]])/Tabla14[[#This Row],['#AA]])/2.2046,"")</f>
        <v>0</v>
      </c>
      <c r="AT15" s="93">
        <v>14</v>
      </c>
      <c r="AU15" s="93">
        <v>16</v>
      </c>
      <c r="AV15" s="106">
        <v>0.65</v>
      </c>
      <c r="AW15" s="93">
        <f>Tabla14[[#This Row],[Hp/AR]]*Tabla14[[#This Row],[%Efi AR]]</f>
        <v>10.4</v>
      </c>
      <c r="AX15" s="93">
        <f>Tabla14[[#This Row],[Hp/Efi]]*Tabla14[[#This Row],['#AR]]</f>
        <v>145.6</v>
      </c>
      <c r="AY15" s="107">
        <f>Tabla14[[#This Row],[Total hp/AR]]/Tabla14[[#This Row],[Ha]]</f>
        <v>16.71641791044776</v>
      </c>
      <c r="AZ15" s="60"/>
      <c r="BA15" s="60"/>
      <c r="BB15" s="16">
        <v>100</v>
      </c>
      <c r="BC15" s="35">
        <f>IFERROR(Tabla14[[#This Row],[Animales vivos reportados]]/Tabla14[[#This Row],[Ha]]/10000,"")</f>
        <v>26.5</v>
      </c>
      <c r="BD15" s="91">
        <f>IFERROR((Tabla14[[#This Row],[CXMT ACTUAL]]*10000*Tabla14[[#This Row],[Ha]])/Tabla14[[#This Row],[Animales Sembrados]],"")</f>
        <v>1</v>
      </c>
      <c r="BE15" s="70" t="str">
        <f>IFERROR( Tabla14[[#This Row],[Animales según alimentación actual]]/(Tabla14[[#This Row],[Densidad/ha]]*Tabla14[[#This Row],[Ha]]),"")</f>
        <v/>
      </c>
      <c r="BF15" s="37"/>
    </row>
    <row r="16" spans="1:59" x14ac:dyDescent="0.35">
      <c r="A16" s="18">
        <v>710</v>
      </c>
      <c r="B16" s="110" t="s">
        <v>95</v>
      </c>
      <c r="C16" s="17">
        <v>8.7100000000000009</v>
      </c>
      <c r="D16" s="83">
        <v>46170</v>
      </c>
      <c r="E16" s="83">
        <f t="shared" si="2"/>
        <v>46213</v>
      </c>
      <c r="F16" s="12">
        <f>Tabla14[[#This Row],[Fecha]]-Tabla14[[#This Row],[Siembra]]</f>
        <v>43</v>
      </c>
      <c r="G16" s="30" t="str">
        <f>IFERROR((((Tabla14[[#This Row],[Kg Alimento diario ]]-Tabla14[[#This Row],[Kg Alimento Sugerido]])/(Tabla14[[#This Row],[Kg Alimento Sugerido]])*100)),"")</f>
        <v/>
      </c>
      <c r="H16" s="64"/>
      <c r="I16" s="103">
        <f ca="1">IFERROR(
   IF(OFFSET(Tabla14[[#This Row],[Psc]],-1,0)=Tabla14[[#This Row],[Psc]],
      OFFSET(Tabla14[[#This Row],[Bal Acumulado]],-1,0)+Tabla14[[#This Row],[Kg/ semanal]],
      Tabla14[[#This Row],[Kg/ semanal]]
   ),
   Tabla14[[#This Row],[Kg/ semanal]]
)</f>
        <v>12275</v>
      </c>
      <c r="J16" s="38" t="str">
        <f ca="1">IFERROR(((Tabla14[[#This Row],[Bal Acumulado]]*2.2046/Tabla14[[#This Row],[Ha]])/L16),"")</f>
        <v/>
      </c>
      <c r="K16" s="68">
        <f>Tabla14[[#This Row],[Animales vivos reportados]]*Tabla14[[#This Row],[Peso Actual]]/454/Tabla14[[#This Row],[Ha]]</f>
        <v>0</v>
      </c>
      <c r="L16" s="64">
        <f>Tabla14[[#This Row],[Animales vivos reportados]]*Tabla14[[#This Row],[Peso Actual]]/454/Tabla14[[#This Row],[Ha]]+O14</f>
        <v>0</v>
      </c>
      <c r="M16" s="68"/>
      <c r="N16" s="68"/>
      <c r="O16" s="68">
        <f>Tabla14[[#This Row],[Raleo/total]]/Tabla14[[#This Row],[Ha]]</f>
        <v>0</v>
      </c>
      <c r="P16" s="61">
        <f>IFERROR(Tabla14[[#This Row],[Kg Alimento diario ]]/Tabla14[[#This Row],[Ha]],"")</f>
        <v>0</v>
      </c>
      <c r="Q16" s="65">
        <f>IFERROR((Tabla14[[#This Row],[Kg Alimento diario ]])/(Tabla14[[#This Row],[Animales vivos reportados]]/100000),"")</f>
        <v>0</v>
      </c>
      <c r="R16" s="104">
        <v>7</v>
      </c>
      <c r="S16" s="89">
        <f>Tabla14[[#This Row],[Kg/ semanal]]/Tabla14[[#This Row],[Dias alimentados]]</f>
        <v>0</v>
      </c>
      <c r="T16" s="62">
        <f>Tabla14[[#This Row],[Kg Alimento Sugerido]]/Tabla14[[#This Row],[Ha]]</f>
        <v>0</v>
      </c>
      <c r="U16" s="63"/>
      <c r="V16" s="63"/>
      <c r="W16" s="63">
        <f>Tabla14[[#This Row],[Kg Minimo]]/Tabla14[[#This Row],[Ha]]</f>
        <v>0</v>
      </c>
      <c r="X16" s="88"/>
      <c r="Y16" s="14" t="str">
        <f>IFERROR(Tabla14[[#This Row],[Kg Alimento diario ]]/(Tabla14[[#This Row],[Peso Actual]]/1000*Tabla14[[#This Row],[Animales vivos reportados]]),"")</f>
        <v/>
      </c>
      <c r="Z16" s="6" t="str">
        <f>IFERROR(IF($Z$1="NormalCalor",
     VLOOKUP(Tabla14[[#This Row],[Peso Actual]], Tabla!$A$4:$C$76, 2, TRUE)/100,
     VLOOKUP(Tabla14[[#This Row],[Peso Actual]], Tabla!$A$4:$C$76, 3, TRUE)/100),
"")</f>
        <v/>
      </c>
      <c r="AA16" s="40" t="str">
        <f>IFERROR(IF($AA$1="MinFrio",VLOOKUP(Tabla14[[#This Row],[Peso Actual]],Tabla!$F$3:$H$482,3,1),VLOOKUP(Tabla14[[#This Row],[Peso Actual]],Tabla!$F$3:$H$482,2,1)),"")</f>
        <v/>
      </c>
      <c r="AB16" s="28" t="e">
        <f>+Tabla14[[#This Row],[Biomasa de camaron  ]]/Tabla14[[#This Row],[Ha]]*2.2</f>
        <v>#VALUE!</v>
      </c>
      <c r="AC16" s="28" t="e">
        <f t="shared" si="1"/>
        <v>#VALUE!</v>
      </c>
      <c r="AD16" s="41" t="e">
        <f t="shared" si="1"/>
        <v>#VALUE!</v>
      </c>
      <c r="AE16" s="28">
        <f>+Tabla14[[#This Row],[Biomasa de Camaron bajo reportado]]*2.2</f>
        <v>0</v>
      </c>
      <c r="AF16" s="28">
        <f>+(Tabla14[[#This Row],[Sobrevivencia total  en finca]]/100)*Tabla14[[#This Row],[Animales vivos reportados]]*Tabla14[[#This Row],[Peso Actual]]/1000</f>
        <v>0</v>
      </c>
      <c r="AG16" s="28" t="e">
        <f>+Tabla14[[#This Row],[Biomasa de camaron alimentacion actual]]/Tabla14[[#This Row],[Ha]]*2.2</f>
        <v>#VALUE!</v>
      </c>
      <c r="AH16" s="36" t="e">
        <f>(Tabla14[[#This Row],[Kg Alimento diario ]]/Tabla14[[#This Row],[BW Sugerida]])</f>
        <v>#VALUE!</v>
      </c>
      <c r="AI16" s="85" t="e">
        <f>(Tabla14[[#This Row],[Kg Minimo]]/Tabla14[[#This Row],[BW(min)]])</f>
        <v>#VALUE!</v>
      </c>
      <c r="AJ16" s="31">
        <f>Tabla14[[#This Row],[Densidad/ha]]*Tabla14[[#This Row],[Ha]]</f>
        <v>2308150</v>
      </c>
      <c r="AK16" s="29">
        <v>265000</v>
      </c>
      <c r="AL16" s="31">
        <f>Tabla14[[#This Row],[Animales Sembrados]]*Tabla14[[#This Row],[Sobrevivencia total  en finca]]/100</f>
        <v>2308150</v>
      </c>
      <c r="AM16" s="41">
        <f>Tabla14[[#This Row],[Animales vivos reportados]]*Tabla14[[#This Row],[Peso Actual]]/454/Tabla14[[#This Row],[Ha]]</f>
        <v>0</v>
      </c>
      <c r="AN16" s="28" t="str">
        <f xml:space="preserve"> IFERROR(
(Tabla14[[#This Row],[Biomasa de camaron  ]]*1000/Tabla14[[#This Row],[Peso Actual]]),"")</f>
        <v/>
      </c>
      <c r="AO16" s="13" t="str">
        <f>IFERROR(((Tabla14[[#This Row],[Biomasa de camaron alimentacion actual]]*1000)/Tabla14[[#This Row],[Peso Actual]]),"")</f>
        <v/>
      </c>
      <c r="AP16" s="42" t="str">
        <f>IFERROR( (
(Tabla14[[#This Row],[Biomasa de camaron alimentacion 2]]*1000)/Tabla14[[#This Row],[Peso Actual]]),"")</f>
        <v/>
      </c>
      <c r="AQ16" s="85">
        <v>22</v>
      </c>
      <c r="AR16" s="93">
        <f>IFERROR(Tabla14[[#This Row],[Animales vivos reportados]]/Tabla14[[#This Row],['#AA]],"")</f>
        <v>104915.90909090909</v>
      </c>
      <c r="AS16" s="93">
        <f>IFERROR(((Tabla14[[#This Row],[Lbs/ha      sin Raleo]]*Tabla14[[#This Row],[Ha]])/Tabla14[[#This Row],['#AA]])/2.2046,"")</f>
        <v>0</v>
      </c>
      <c r="AT16" s="93">
        <v>14</v>
      </c>
      <c r="AU16" s="93">
        <v>16</v>
      </c>
      <c r="AV16" s="106">
        <v>0.65</v>
      </c>
      <c r="AW16" s="93">
        <f>Tabla14[[#This Row],[Hp/AR]]*Tabla14[[#This Row],[%Efi AR]]</f>
        <v>10.4</v>
      </c>
      <c r="AX16" s="93">
        <f>Tabla14[[#This Row],[Hp/Efi]]*Tabla14[[#This Row],['#AR]]</f>
        <v>145.6</v>
      </c>
      <c r="AY16" s="107">
        <f>Tabla14[[#This Row],[Total hp/AR]]/Tabla14[[#This Row],[Ha]]</f>
        <v>16.71641791044776</v>
      </c>
      <c r="AZ16" s="60"/>
      <c r="BA16" s="60"/>
      <c r="BB16" s="16">
        <v>100</v>
      </c>
      <c r="BC16" s="35">
        <f>IFERROR(Tabla14[[#This Row],[Animales vivos reportados]]/Tabla14[[#This Row],[Ha]]/10000,"")</f>
        <v>26.5</v>
      </c>
      <c r="BD16" s="91">
        <f>IFERROR((Tabla14[[#This Row],[CXMT ACTUAL]]*10000*Tabla14[[#This Row],[Ha]])/Tabla14[[#This Row],[Animales Sembrados]],"")</f>
        <v>1</v>
      </c>
      <c r="BE16" s="70" t="str">
        <f>IFERROR( Tabla14[[#This Row],[Animales según alimentación actual]]/(Tabla14[[#This Row],[Densidad/ha]]*Tabla14[[#This Row],[Ha]]),"")</f>
        <v/>
      </c>
      <c r="BF16" s="37"/>
    </row>
    <row r="17" spans="1:58" x14ac:dyDescent="0.35">
      <c r="A17" s="18">
        <v>710</v>
      </c>
      <c r="B17" s="110" t="s">
        <v>95</v>
      </c>
      <c r="C17" s="17">
        <v>8.7100000000000009</v>
      </c>
      <c r="D17" s="83">
        <v>46170</v>
      </c>
      <c r="E17" s="83">
        <f t="shared" si="2"/>
        <v>46220</v>
      </c>
      <c r="F17" s="12">
        <f>Tabla14[[#This Row],[Fecha]]-Tabla14[[#This Row],[Siembra]]</f>
        <v>50</v>
      </c>
      <c r="G17" s="30" t="str">
        <f>IFERROR((((Tabla14[[#This Row],[Kg Alimento diario ]]-Tabla14[[#This Row],[Kg Alimento Sugerido]])/(Tabla14[[#This Row],[Kg Alimento Sugerido]])*100)),"")</f>
        <v/>
      </c>
      <c r="H17" s="64"/>
      <c r="I17" s="103">
        <f ca="1">IFERROR(
   IF(OFFSET(Tabla14[[#This Row],[Psc]],-1,0)=Tabla14[[#This Row],[Psc]],
      OFFSET(Tabla14[[#This Row],[Bal Acumulado]],-1,0)+Tabla14[[#This Row],[Kg/ semanal]],
      Tabla14[[#This Row],[Kg/ semanal]]
   ),
   Tabla14[[#This Row],[Kg/ semanal]]
)</f>
        <v>12275</v>
      </c>
      <c r="J17" s="38" t="str">
        <f ca="1">IFERROR(((Tabla14[[#This Row],[Bal Acumulado]]*2.2046/Tabla14[[#This Row],[Ha]])/L17),"")</f>
        <v/>
      </c>
      <c r="K17" s="68">
        <f>Tabla14[[#This Row],[Animales vivos reportados]]*Tabla14[[#This Row],[Peso Actual]]/454/Tabla14[[#This Row],[Ha]]</f>
        <v>0</v>
      </c>
      <c r="L17" s="64">
        <f>Tabla14[[#This Row],[Animales vivos reportados]]*Tabla14[[#This Row],[Peso Actual]]/454/Tabla14[[#This Row],[Ha]]+O15</f>
        <v>0</v>
      </c>
      <c r="M17" s="68"/>
      <c r="N17" s="68"/>
      <c r="O17" s="68">
        <f>Tabla14[[#This Row],[Raleo/total]]/Tabla14[[#This Row],[Ha]]</f>
        <v>0</v>
      </c>
      <c r="P17" s="61">
        <f>IFERROR(Tabla14[[#This Row],[Kg Alimento diario ]]/Tabla14[[#This Row],[Ha]],"")</f>
        <v>0</v>
      </c>
      <c r="Q17" s="65">
        <f>IFERROR((Tabla14[[#This Row],[Kg Alimento diario ]])/(Tabla14[[#This Row],[Animales vivos reportados]]/100000),"")</f>
        <v>0</v>
      </c>
      <c r="R17" s="104">
        <v>7</v>
      </c>
      <c r="S17" s="89">
        <f>Tabla14[[#This Row],[Kg/ semanal]]/Tabla14[[#This Row],[Dias alimentados]]</f>
        <v>0</v>
      </c>
      <c r="T17" s="62">
        <f>Tabla14[[#This Row],[Kg Alimento Sugerido]]/Tabla14[[#This Row],[Ha]]</f>
        <v>0</v>
      </c>
      <c r="U17" s="63"/>
      <c r="V17" s="63"/>
      <c r="W17" s="63">
        <f>Tabla14[[#This Row],[Kg Minimo]]/Tabla14[[#This Row],[Ha]]</f>
        <v>0</v>
      </c>
      <c r="X17" s="88"/>
      <c r="Y17" s="14" t="str">
        <f>IFERROR(Tabla14[[#This Row],[Kg Alimento diario ]]/(Tabla14[[#This Row],[Peso Actual]]/1000*Tabla14[[#This Row],[Animales vivos reportados]]),"")</f>
        <v/>
      </c>
      <c r="Z17" s="6" t="str">
        <f>IFERROR(IF($Z$1="NormalCalor",
     VLOOKUP(Tabla14[[#This Row],[Peso Actual]], Tabla!$A$4:$C$76, 2, TRUE)/100,
     VLOOKUP(Tabla14[[#This Row],[Peso Actual]], Tabla!$A$4:$C$76, 3, TRUE)/100),
"")</f>
        <v/>
      </c>
      <c r="AA17" s="40" t="str">
        <f>IFERROR(IF($AA$1="MinFrio",VLOOKUP(Tabla14[[#This Row],[Peso Actual]],Tabla!$F$3:$H$482,3,1),VLOOKUP(Tabla14[[#This Row],[Peso Actual]],Tabla!$F$3:$H$482,2,1)),"")</f>
        <v/>
      </c>
      <c r="AB17" s="28" t="e">
        <f>+Tabla14[[#This Row],[Biomasa de camaron  ]]/Tabla14[[#This Row],[Ha]]*2.2</f>
        <v>#VALUE!</v>
      </c>
      <c r="AC17" s="28" t="e">
        <f t="shared" si="1"/>
        <v>#VALUE!</v>
      </c>
      <c r="AD17" s="41" t="e">
        <f t="shared" si="1"/>
        <v>#VALUE!</v>
      </c>
      <c r="AE17" s="28">
        <f>+Tabla14[[#This Row],[Biomasa de Camaron bajo reportado]]*2.2</f>
        <v>0</v>
      </c>
      <c r="AF17" s="28">
        <f>+(Tabla14[[#This Row],[Sobrevivencia total  en finca]]/100)*Tabla14[[#This Row],[Animales vivos reportados]]*Tabla14[[#This Row],[Peso Actual]]/1000</f>
        <v>0</v>
      </c>
      <c r="AG17" s="28" t="e">
        <f>+Tabla14[[#This Row],[Biomasa de camaron alimentacion actual]]/Tabla14[[#This Row],[Ha]]*2.2</f>
        <v>#VALUE!</v>
      </c>
      <c r="AH17" s="36" t="e">
        <f>(Tabla14[[#This Row],[Kg Alimento diario ]]/Tabla14[[#This Row],[BW Sugerida]])</f>
        <v>#VALUE!</v>
      </c>
      <c r="AI17" s="85" t="e">
        <f>(Tabla14[[#This Row],[Kg Minimo]]/Tabla14[[#This Row],[BW(min)]])</f>
        <v>#VALUE!</v>
      </c>
      <c r="AJ17" s="31">
        <f>Tabla14[[#This Row],[Densidad/ha]]*Tabla14[[#This Row],[Ha]]</f>
        <v>2308150</v>
      </c>
      <c r="AK17" s="29">
        <v>265000</v>
      </c>
      <c r="AL17" s="31">
        <f>Tabla14[[#This Row],[Animales Sembrados]]*Tabla14[[#This Row],[Sobrevivencia total  en finca]]/100</f>
        <v>2308150</v>
      </c>
      <c r="AM17" s="41">
        <f>Tabla14[[#This Row],[Animales vivos reportados]]*Tabla14[[#This Row],[Peso Actual]]/454/Tabla14[[#This Row],[Ha]]</f>
        <v>0</v>
      </c>
      <c r="AN17" s="28" t="str">
        <f xml:space="preserve"> IFERROR(
(Tabla14[[#This Row],[Biomasa de camaron  ]]*1000/Tabla14[[#This Row],[Peso Actual]]),"")</f>
        <v/>
      </c>
      <c r="AO17" s="13" t="str">
        <f>IFERROR(((Tabla14[[#This Row],[Biomasa de camaron alimentacion actual]]*1000)/Tabla14[[#This Row],[Peso Actual]]),"")</f>
        <v/>
      </c>
      <c r="AP17" s="42" t="str">
        <f>IFERROR( (
(Tabla14[[#This Row],[Biomasa de camaron alimentacion 2]]*1000)/Tabla14[[#This Row],[Peso Actual]]),"")</f>
        <v/>
      </c>
      <c r="AQ17" s="85">
        <v>22</v>
      </c>
      <c r="AR17" s="93">
        <f>IFERROR(Tabla14[[#This Row],[Animales vivos reportados]]/Tabla14[[#This Row],['#AA]],"")</f>
        <v>104915.90909090909</v>
      </c>
      <c r="AS17" s="93">
        <f>IFERROR(((Tabla14[[#This Row],[Lbs/ha      sin Raleo]]*Tabla14[[#This Row],[Ha]])/Tabla14[[#This Row],['#AA]])/2.2046,"")</f>
        <v>0</v>
      </c>
      <c r="AT17" s="93">
        <v>14</v>
      </c>
      <c r="AU17" s="93">
        <v>16</v>
      </c>
      <c r="AV17" s="106">
        <v>0.65</v>
      </c>
      <c r="AW17" s="93">
        <f>Tabla14[[#This Row],[Hp/AR]]*Tabla14[[#This Row],[%Efi AR]]</f>
        <v>10.4</v>
      </c>
      <c r="AX17" s="93">
        <f>Tabla14[[#This Row],[Hp/Efi]]*Tabla14[[#This Row],['#AR]]</f>
        <v>145.6</v>
      </c>
      <c r="AY17" s="107">
        <f>Tabla14[[#This Row],[Total hp/AR]]/Tabla14[[#This Row],[Ha]]</f>
        <v>16.71641791044776</v>
      </c>
      <c r="AZ17" s="60"/>
      <c r="BA17" s="60"/>
      <c r="BB17" s="16">
        <v>100</v>
      </c>
      <c r="BC17" s="35">
        <f>IFERROR(Tabla14[[#This Row],[Animales vivos reportados]]/Tabla14[[#This Row],[Ha]]/10000,"")</f>
        <v>26.5</v>
      </c>
      <c r="BD17" s="91">
        <f>IFERROR((Tabla14[[#This Row],[CXMT ACTUAL]]*10000*Tabla14[[#This Row],[Ha]])/Tabla14[[#This Row],[Animales Sembrados]],"")</f>
        <v>1</v>
      </c>
      <c r="BE17" s="70" t="str">
        <f>IFERROR( Tabla14[[#This Row],[Animales según alimentación actual]]/(Tabla14[[#This Row],[Densidad/ha]]*Tabla14[[#This Row],[Ha]]),"")</f>
        <v/>
      </c>
      <c r="BF17" s="37"/>
    </row>
    <row r="18" spans="1:58" x14ac:dyDescent="0.35">
      <c r="A18" s="18">
        <v>712</v>
      </c>
      <c r="B18" s="110" t="s">
        <v>95</v>
      </c>
      <c r="C18" s="17">
        <v>3.5310000000000001</v>
      </c>
      <c r="D18" s="83">
        <v>46170</v>
      </c>
      <c r="E18" s="83">
        <v>46178</v>
      </c>
      <c r="F18" s="12">
        <f>Tabla14[[#This Row],[Fecha]]-Tabla14[[#This Row],[Siembra]]</f>
        <v>8</v>
      </c>
      <c r="G18" s="30" t="str">
        <f>IFERROR((((Tabla14[[#This Row],[Kg Alimento diario ]]-Tabla14[[#This Row],[Kg Alimento Sugerido]])/(Tabla14[[#This Row],[Kg Alimento Sugerido]])*100)),"")</f>
        <v/>
      </c>
      <c r="H18" s="64">
        <v>2695</v>
      </c>
      <c r="I18" s="103">
        <f ca="1">IFERROR(
   IF(OFFSET(Tabla14[[#This Row],[Psc]],-1,0)=Tabla14[[#This Row],[Psc]],
      OFFSET(Tabla14[[#This Row],[Bal Acumulado]],-1,0)+Tabla14[[#This Row],[Kg/ semanal]],
      Tabla14[[#This Row],[Kg/ semanal]]
   ),
   Tabla14[[#This Row],[Kg/ semanal]]
)</f>
        <v>2695</v>
      </c>
      <c r="J18" s="38">
        <f ca="1">IFERROR(((Tabla14[[#This Row],[Bal Acumulado]]*2.2046/Tabla14[[#This Row],[Ha]])/L18),"")</f>
        <v>0.23628763924983115</v>
      </c>
      <c r="K18" s="68">
        <f>Tabla14[[#This Row],[Animales vivos reportados]]*Tabla14[[#This Row],[Peso Actual]]/454/Tabla14[[#This Row],[Ha]]</f>
        <v>7121.1453744493383</v>
      </c>
      <c r="L18" s="64">
        <f>Tabla14[[#This Row],[Animales vivos reportados]]*Tabla14[[#This Row],[Peso Actual]]/454/Tabla14[[#This Row],[Ha]]+O17</f>
        <v>7121.1453744493383</v>
      </c>
      <c r="M18" s="68"/>
      <c r="N18" s="68"/>
      <c r="O18" s="68">
        <f>Tabla14[[#This Row],[Raleo/total]]/Tabla14[[#This Row],[Ha]]</f>
        <v>0</v>
      </c>
      <c r="P18" s="61">
        <f>IFERROR(Tabla14[[#This Row],[Kg Alimento diario ]]/Tabla14[[#This Row],[Ha]],"")</f>
        <v>109.03426791277258</v>
      </c>
      <c r="Q18" s="65">
        <f>IFERROR((Tabla14[[#This Row],[Kg Alimento diario ]])/(Tabla14[[#This Row],[Animales vivos reportados]]/100000),"")</f>
        <v>41.14500675953682</v>
      </c>
      <c r="R18" s="104">
        <v>7</v>
      </c>
      <c r="S18" s="89">
        <f>Tabla14[[#This Row],[Kg/ semanal]]/Tabla14[[#This Row],[Dias alimentados]]</f>
        <v>385</v>
      </c>
      <c r="T18" s="62">
        <f>Tabla14[[#This Row],[Kg Alimento Sugerido]]/Tabla14[[#This Row],[Ha]]</f>
        <v>0</v>
      </c>
      <c r="U18" s="63"/>
      <c r="V18" s="63"/>
      <c r="W18" s="63">
        <f>Tabla14[[#This Row],[Kg Minimo]]/Tabla14[[#This Row],[Ha]]</f>
        <v>0</v>
      </c>
      <c r="X18" s="88">
        <v>12.2</v>
      </c>
      <c r="Y18" s="14">
        <f>IFERROR(Tabla14[[#This Row],[Kg Alimento diario ]]/(Tabla14[[#This Row],[Peso Actual]]/1000*Tabla14[[#This Row],[Animales vivos reportados]]),"")</f>
        <v>3.3725415376669531E-2</v>
      </c>
      <c r="Z18" s="6">
        <f>IFERROR(IF($Z$1="NormalCalor",
     VLOOKUP(Tabla14[[#This Row],[Peso Actual]], Tabla!$A$4:$C$76, 2, TRUE)/100,
     VLOOKUP(Tabla14[[#This Row],[Peso Actual]], Tabla!$A$4:$C$76, 3, TRUE)/100),
"")</f>
        <v>5.4000000000000006E-2</v>
      </c>
      <c r="AA18" s="40">
        <f>IFERROR(IF($AA$1="MinFrio",VLOOKUP(Tabla14[[#This Row],[Peso Actual]],Tabla!$F$3:$H$482,3,1),VLOOKUP(Tabla14[[#This Row],[Peso Actual]],Tabla!$F$3:$H$482,2,1)),"")</f>
        <v>4.6758294714430729E-2</v>
      </c>
      <c r="AB18" s="28">
        <f>+Tabla14[[#This Row],[Biomasa de camaron  ]]/Tabla14[[#This Row],[Ha]]*2.2</f>
        <v>0</v>
      </c>
      <c r="AC18" s="28">
        <f t="shared" si="0"/>
        <v>0</v>
      </c>
      <c r="AD18" s="41">
        <f t="shared" si="0"/>
        <v>0</v>
      </c>
      <c r="AE18" s="28">
        <f>+Tabla14[[#This Row],[Biomasa de Camaron bajo reportado]]*2.2</f>
        <v>25114.590600000003</v>
      </c>
      <c r="AF18" s="28">
        <f>+(Tabla14[[#This Row],[Sobrevivencia total  en finca]]/100)*Tabla14[[#This Row],[Animales vivos reportados]]*Tabla14[[#This Row],[Peso Actual]]/1000</f>
        <v>11415.723</v>
      </c>
      <c r="AG18" s="28">
        <f>+Tabla14[[#This Row],[Biomasa de camaron alimentacion actual]]/Tabla14[[#This Row],[Ha]]*2.2</f>
        <v>4442.1368408907347</v>
      </c>
      <c r="AH18" s="36">
        <f>(Tabla14[[#This Row],[Kg Alimento diario ]]/Tabla14[[#This Row],[BW Sugerida]])</f>
        <v>7129.6296296296287</v>
      </c>
      <c r="AI18" s="85">
        <f>(Tabla14[[#This Row],[Kg Minimo]]/Tabla14[[#This Row],[BW(min)]])</f>
        <v>0</v>
      </c>
      <c r="AJ18" s="31">
        <f>Tabla14[[#This Row],[Densidad/ha]]*Tabla14[[#This Row],[Ha]]</f>
        <v>935715</v>
      </c>
      <c r="AK18" s="29">
        <v>265000</v>
      </c>
      <c r="AL18" s="31">
        <f>Tabla14[[#This Row],[Animales Sembrados]]*Tabla14[[#This Row],[Sobrevivencia total  en finca]]/100</f>
        <v>935715</v>
      </c>
      <c r="AM18" s="41">
        <f>Tabla14[[#This Row],[Animales vivos reportados]]*Tabla14[[#This Row],[Peso Actual]]/454/Tabla14[[#This Row],[Ha]]</f>
        <v>7121.1453744493383</v>
      </c>
      <c r="AN18" s="28">
        <f xml:space="preserve"> IFERROR(
(Tabla14[[#This Row],[Biomasa de camaron  ]]*1000/Tabla14[[#This Row],[Peso Actual]]),"")</f>
        <v>0</v>
      </c>
      <c r="AO18" s="13">
        <f>IFERROR(((Tabla14[[#This Row],[Biomasa de camaron alimentacion actual]]*1000)/Tabla14[[#This Row],[Peso Actual]]),"")</f>
        <v>584395.8712811172</v>
      </c>
      <c r="AP18" s="42">
        <f>IFERROR( (
(Tabla14[[#This Row],[Biomasa de camaron alimentacion 2]]*1000)/Tabla14[[#This Row],[Peso Actual]]),"")</f>
        <v>0</v>
      </c>
      <c r="AQ18" s="85">
        <v>14</v>
      </c>
      <c r="AR18" s="93">
        <f>IFERROR(Tabla14[[#This Row],[Animales vivos reportados]]/Tabla14[[#This Row],['#AA]],"")</f>
        <v>66836.78571428571</v>
      </c>
      <c r="AS18" s="93">
        <f>IFERROR(((Tabla14[[#This Row],[Lbs/ha      sin Raleo]]*Tabla14[[#This Row],[Ha]])/Tabla14[[#This Row],['#AA]])/2.2046,"")</f>
        <v>814.68501954292367</v>
      </c>
      <c r="AT18" s="93">
        <v>10</v>
      </c>
      <c r="AU18" s="93">
        <v>16</v>
      </c>
      <c r="AV18" s="106">
        <v>0.65</v>
      </c>
      <c r="AW18" s="93">
        <f>Tabla14[[#This Row],[Hp/AR]]*Tabla14[[#This Row],[%Efi AR]]</f>
        <v>10.4</v>
      </c>
      <c r="AX18" s="93">
        <f>Tabla14[[#This Row],[Hp/Efi]]*Tabla14[[#This Row],['#AR]]</f>
        <v>104</v>
      </c>
      <c r="AY18" s="107">
        <f>Tabla14[[#This Row],[Total hp/AR]]/Tabla14[[#This Row],[Ha]]</f>
        <v>29.453412630982722</v>
      </c>
      <c r="AZ18" s="60"/>
      <c r="BA18" s="60"/>
      <c r="BB18" s="16">
        <v>100</v>
      </c>
      <c r="BC18" s="35">
        <f>IFERROR(Tabla14[[#This Row],[Animales vivos reportados]]/Tabla14[[#This Row],[Ha]]/10000,"")</f>
        <v>26.5</v>
      </c>
      <c r="BD18" s="91">
        <f>IFERROR((Tabla14[[#This Row],[CXMT ACTUAL]]*10000*Tabla14[[#This Row],[Ha]])/Tabla14[[#This Row],[Animales Sembrados]],"")</f>
        <v>1</v>
      </c>
      <c r="BE18" s="70">
        <f>IFERROR( Tabla14[[#This Row],[Animales según alimentación actual]]/(Tabla14[[#This Row],[Densidad/ha]]*Tabla14[[#This Row],[Ha]]),"")</f>
        <v>0.62454472919758386</v>
      </c>
      <c r="BF18" s="37"/>
    </row>
    <row r="19" spans="1:58" x14ac:dyDescent="0.35">
      <c r="A19" s="18">
        <v>712</v>
      </c>
      <c r="B19" s="110" t="s">
        <v>95</v>
      </c>
      <c r="C19" s="17">
        <v>3.5310000000000001</v>
      </c>
      <c r="D19" s="112">
        <v>46170</v>
      </c>
      <c r="E19" s="113">
        <f>E18+7</f>
        <v>46185</v>
      </c>
      <c r="F19" s="12">
        <f>Tabla14[[#This Row],[Fecha]]-Tabla14[[#This Row],[Siembra]]</f>
        <v>15</v>
      </c>
      <c r="G19" s="114" t="str">
        <f>IFERROR((((Tabla14[[#This Row],[Kg Alimento diario ]]-Tabla14[[#This Row],[Kg Alimento Sugerido]])/(Tabla14[[#This Row],[Kg Alimento Sugerido]])*100)),"")</f>
        <v/>
      </c>
      <c r="H19" s="30">
        <v>2780</v>
      </c>
      <c r="I19" s="64">
        <f ca="1">IFERROR(
   IF(OFFSET(Tabla14[[#This Row],[Psc]],-1,0)=Tabla14[[#This Row],[Psc]],
      OFFSET(Tabla14[[#This Row],[Bal Acumulado]],-1,0)+Tabla14[[#This Row],[Kg/ semanal]],
      Tabla14[[#This Row],[Kg/ semanal]]
   ),
   Tabla14[[#This Row],[Kg/ semanal]]
)</f>
        <v>5475</v>
      </c>
      <c r="J19" s="30">
        <f ca="1">IFERROR(((Tabla14[[#This Row],[Bal Acumulado]]*2.2046/Tabla14[[#This Row],[Ha]])/L19),"")</f>
        <v>0.3592845843516731</v>
      </c>
      <c r="K19" s="68">
        <f>Tabla14[[#This Row],[Animales vivos reportados]]*Tabla14[[#This Row],[Peso Actual]]/454/Tabla14[[#This Row],[Ha]]</f>
        <v>9514.3171806167393</v>
      </c>
      <c r="L19" s="64">
        <f>Tabla14[[#This Row],[Animales vivos reportados]]*Tabla14[[#This Row],[Peso Actual]]/454/Tabla14[[#This Row],[Ha]]+O17</f>
        <v>9514.3171806167393</v>
      </c>
      <c r="M19" s="68"/>
      <c r="N19" s="68"/>
      <c r="O19" s="68">
        <f>Tabla14[[#This Row],[Raleo/total]]/Tabla14[[#This Row],[Ha]]</f>
        <v>0</v>
      </c>
      <c r="P19" s="115">
        <f>IFERROR(Tabla14[[#This Row],[Kg Alimento diario ]]/Tabla14[[#This Row],[Ha]],"")</f>
        <v>112.47319658534612</v>
      </c>
      <c r="Q19" s="116">
        <f>IFERROR((Tabla14[[#This Row],[Kg Alimento diario ]])/(Tabla14[[#This Row],[Animales vivos reportados]]/100000),"")</f>
        <v>42.442715692583441</v>
      </c>
      <c r="R19" s="104">
        <v>7</v>
      </c>
      <c r="S19" s="89">
        <f>Tabla14[[#This Row],[Kg/ semanal]]/Tabla14[[#This Row],[Dias alimentados]]</f>
        <v>397.14285714285717</v>
      </c>
      <c r="T19" s="117">
        <f>Tabla14[[#This Row],[Kg Alimento Sugerido]]/Tabla14[[#This Row],[Ha]]</f>
        <v>0</v>
      </c>
      <c r="U19" s="29"/>
      <c r="V19" s="63"/>
      <c r="W19" s="63">
        <f>Tabla14[[#This Row],[Kg Minimo]]/Tabla14[[#This Row],[Ha]]</f>
        <v>0</v>
      </c>
      <c r="X19" s="118">
        <v>16.3</v>
      </c>
      <c r="Y19" s="14">
        <f>IFERROR(Tabla14[[#This Row],[Kg Alimento diario ]]/(Tabla14[[#This Row],[Peso Actual]]/1000*Tabla14[[#This Row],[Animales vivos reportados]]),"")</f>
        <v>2.6038475885020514E-2</v>
      </c>
      <c r="Z19" s="6">
        <f>IFERROR(IF($Z$1="NormalCalor",
     VLOOKUP(Tabla14[[#This Row],[Peso Actual]], Tabla!$A$4:$C$76, 2, TRUE)/100,
     VLOOKUP(Tabla14[[#This Row],[Peso Actual]], Tabla!$A$4:$C$76, 3, TRUE)/100),
"")</f>
        <v>4.5999999999999999E-2</v>
      </c>
      <c r="AA19" s="119">
        <f>IFERROR(IF($AA$1="MinFrio",VLOOKUP(Tabla14[[#This Row],[Peso Actual]],Tabla!$F$3:$H$482,3,1),VLOOKUP(Tabla14[[#This Row],[Peso Actual]],Tabla!$F$3:$H$482,2,1)),"")</f>
        <v>4.1161371267389828E-2</v>
      </c>
      <c r="AB19" s="28">
        <f>+Tabla14[[#This Row],[Biomasa de camaron  ]]/Tabla14[[#This Row],[Ha]]*2.2</f>
        <v>0</v>
      </c>
      <c r="AC19" s="28">
        <f t="shared" ref="AC19:AC27" si="3">U19/Z19</f>
        <v>0</v>
      </c>
      <c r="AD19" s="31">
        <f t="shared" ref="AD19:AD27" si="4">V19/AA19</f>
        <v>0</v>
      </c>
      <c r="AE19" s="28">
        <f>+Tabla14[[#This Row],[Biomasa de Camaron bajo reportado]]*2.2</f>
        <v>33554.7399</v>
      </c>
      <c r="AF19" s="28">
        <f>+(Tabla14[[#This Row],[Sobrevivencia total  en finca]]/100)*Tabla14[[#This Row],[Animales vivos reportados]]*Tabla14[[#This Row],[Peso Actual]]/1000</f>
        <v>15252.154500000001</v>
      </c>
      <c r="AG19" s="28">
        <f>+Tabla14[[#This Row],[Biomasa de camaron alimentacion actual]]/Tabla14[[#This Row],[Ha]]*2.2</f>
        <v>5379.1528801687282</v>
      </c>
      <c r="AH19" s="28">
        <f>(Tabla14[[#This Row],[Kg Alimento diario ]]/Tabla14[[#This Row],[BW Sugerida]])</f>
        <v>8633.5403726708082</v>
      </c>
      <c r="AI19" s="87">
        <f>(Tabla14[[#This Row],[Kg Minimo]]/Tabla14[[#This Row],[BW(min)]])</f>
        <v>0</v>
      </c>
      <c r="AJ19" s="28">
        <f>Tabla14[[#This Row],[Densidad/ha]]*Tabla14[[#This Row],[Ha]]</f>
        <v>935715</v>
      </c>
      <c r="AK19" s="29">
        <v>265000</v>
      </c>
      <c r="AL19" s="28">
        <f>Tabla14[[#This Row],[Animales Sembrados]]*Tabla14[[#This Row],[Sobrevivencia total  en finca]]/100</f>
        <v>935715</v>
      </c>
      <c r="AM19" s="31">
        <f>Tabla14[[#This Row],[Animales vivos reportados]]*Tabla14[[#This Row],[Peso Actual]]/454/Tabla14[[#This Row],[Ha]]</f>
        <v>9514.3171806167393</v>
      </c>
      <c r="AN19" s="28">
        <f xml:space="preserve"> IFERROR(
(Tabla14[[#This Row],[Biomasa de camaron  ]]*1000/Tabla14[[#This Row],[Peso Actual]]),"")</f>
        <v>0</v>
      </c>
      <c r="AO19" s="28">
        <f>IFERROR(((Tabla14[[#This Row],[Biomasa de camaron alimentacion actual]]*1000)/Tabla14[[#This Row],[Peso Actual]]),"")</f>
        <v>529665.05353808636</v>
      </c>
      <c r="AP19" s="87">
        <f>IFERROR( (
(Tabla14[[#This Row],[Biomasa de camaron alimentacion 2]]*1000)/Tabla14[[#This Row],[Peso Actual]]),"")</f>
        <v>0</v>
      </c>
      <c r="AQ19" s="85">
        <v>14</v>
      </c>
      <c r="AR19" s="105">
        <f>IFERROR(Tabla14[[#This Row],[Animales vivos reportados]]/Tabla14[[#This Row],['#AA]],"")</f>
        <v>66836.78571428571</v>
      </c>
      <c r="AS19" s="93">
        <f>IFERROR(((Tabla14[[#This Row],[Lbs/ha      sin Raleo]]*Tabla14[[#This Row],[Ha]])/Tabla14[[#This Row],['#AA]])/2.2046,"")</f>
        <v>1088.4726080778407</v>
      </c>
      <c r="AT19" s="93">
        <v>10</v>
      </c>
      <c r="AU19" s="93">
        <v>16</v>
      </c>
      <c r="AV19" s="106">
        <v>0.65</v>
      </c>
      <c r="AW19" s="93">
        <f>Tabla14[[#This Row],[Hp/AR]]*Tabla14[[#This Row],[%Efi AR]]</f>
        <v>10.4</v>
      </c>
      <c r="AX19" s="93">
        <f>Tabla14[[#This Row],[Hp/Efi]]*Tabla14[[#This Row],['#AR]]</f>
        <v>104</v>
      </c>
      <c r="AY19" s="107">
        <f>Tabla14[[#This Row],[Total hp/AR]]/Tabla14[[#This Row],[Ha]]</f>
        <v>29.453412630982722</v>
      </c>
      <c r="AZ19" s="60">
        <f>IF(Tabla14[[#This Row],[Peso Actual]]&gt;X12,Tabla14[[#This Row],[Peso Actual]]-X18,"")</f>
        <v>4.1000000000000014</v>
      </c>
      <c r="BA19" s="60"/>
      <c r="BB19" s="16">
        <v>100</v>
      </c>
      <c r="BC19" s="35">
        <f>IFERROR(Tabla14[[#This Row],[Animales vivos reportados]]/Tabla14[[#This Row],[Ha]]/10000,"")</f>
        <v>26.5</v>
      </c>
      <c r="BD19" s="91">
        <f>IFERROR((Tabla14[[#This Row],[CXMT ACTUAL]]*10000*Tabla14[[#This Row],[Ha]])/Tabla14[[#This Row],[Animales Sembrados]],"")</f>
        <v>1</v>
      </c>
      <c r="BE19" s="70">
        <f>IFERROR( Tabla14[[#This Row],[Animales según alimentación actual]]/(Tabla14[[#This Row],[Densidad/ha]]*Tabla14[[#This Row],[Ha]]),"")</f>
        <v>0.56605382358740253</v>
      </c>
      <c r="BF19" s="120"/>
    </row>
    <row r="20" spans="1:58" x14ac:dyDescent="0.35">
      <c r="A20" s="18">
        <v>712</v>
      </c>
      <c r="B20" s="110" t="s">
        <v>95</v>
      </c>
      <c r="C20" s="17">
        <v>3.5310000000000001</v>
      </c>
      <c r="D20" s="112">
        <v>46170</v>
      </c>
      <c r="E20" s="113">
        <f t="shared" ref="E20:E27" si="5">E19+7</f>
        <v>46192</v>
      </c>
      <c r="F20" s="12">
        <f>Tabla14[[#This Row],[Fecha]]-Tabla14[[#This Row],[Siembra]]</f>
        <v>22</v>
      </c>
      <c r="G20" s="114" t="str">
        <f>IFERROR((((Tabla14[[#This Row],[Kg Alimento diario ]]-Tabla14[[#This Row],[Kg Alimento Sugerido]])/(Tabla14[[#This Row],[Kg Alimento Sugerido]])*100)),"")</f>
        <v/>
      </c>
      <c r="H20" s="38"/>
      <c r="I20" s="68">
        <f ca="1">IFERROR(
   IF(OFFSET(Tabla14[[#This Row],[Psc]],-1,0)=Tabla14[[#This Row],[Psc]],
      OFFSET(Tabla14[[#This Row],[Bal Acumulado]],-1,0)+Tabla14[[#This Row],[Kg/ semanal]],
      Tabla14[[#This Row],[Kg/ semanal]]
   ),
   Tabla14[[#This Row],[Kg/ semanal]]
)</f>
        <v>5475</v>
      </c>
      <c r="J20" s="38" t="str">
        <f ca="1">IFERROR(((Tabla14[[#This Row],[Bal Acumulado]]*2.2046/Tabla14[[#This Row],[Ha]])/L20),"")</f>
        <v/>
      </c>
      <c r="K20" s="68">
        <f>Tabla14[[#This Row],[Animales vivos reportados]]*Tabla14[[#This Row],[Peso Actual]]/454/Tabla14[[#This Row],[Ha]]</f>
        <v>0</v>
      </c>
      <c r="L20" s="68">
        <f>Tabla14[[#This Row],[Animales vivos reportados]]*Tabla14[[#This Row],[Peso Actual]]/454/Tabla14[[#This Row],[Ha]]+O18</f>
        <v>0</v>
      </c>
      <c r="M20" s="68"/>
      <c r="N20" s="68"/>
      <c r="O20" s="68">
        <f>Tabla14[[#This Row],[Raleo/total]]/Tabla14[[#This Row],[Ha]]</f>
        <v>0</v>
      </c>
      <c r="P20" s="115">
        <f>IFERROR(Tabla14[[#This Row],[Kg Alimento diario ]]/Tabla14[[#This Row],[Ha]],"")</f>
        <v>0</v>
      </c>
      <c r="Q20" s="116" t="str">
        <f>IFERROR((Tabla14[[#This Row],[Kg Alimento diario ]])/(Tabla14[[#This Row],[Animales vivos reportados]]/100000),"")</f>
        <v/>
      </c>
      <c r="R20" s="104">
        <v>7</v>
      </c>
      <c r="S20" s="89">
        <f>Tabla14[[#This Row],[Kg/ semanal]]/Tabla14[[#This Row],[Dias alimentados]]</f>
        <v>0</v>
      </c>
      <c r="T20" s="117">
        <f>Tabla14[[#This Row],[Kg Alimento Sugerido]]/Tabla14[[#This Row],[Ha]]</f>
        <v>0</v>
      </c>
      <c r="U20" s="29"/>
      <c r="V20" s="69"/>
      <c r="W20" s="69">
        <f>Tabla14[[#This Row],[Kg Minimo]]/Tabla14[[#This Row],[Ha]]</f>
        <v>0</v>
      </c>
      <c r="X20" s="118"/>
      <c r="Y20" s="14" t="str">
        <f>IFERROR(Tabla14[[#This Row],[Kg Alimento diario ]]/(Tabla14[[#This Row],[Peso Actual]]/1000*Tabla14[[#This Row],[Animales vivos reportados]]),"")</f>
        <v/>
      </c>
      <c r="Z20" s="6" t="str">
        <f>IFERROR(IF($Z$1="NormalCalor",
     VLOOKUP(Tabla14[[#This Row],[Peso Actual]], Tabla!$A$4:$C$76, 2, TRUE)/100,
     VLOOKUP(Tabla14[[#This Row],[Peso Actual]], Tabla!$A$4:$C$76, 3, TRUE)/100),
"")</f>
        <v/>
      </c>
      <c r="AA20" s="40" t="str">
        <f>IFERROR(IF($AA$1="MinFrio",VLOOKUP(Tabla14[[#This Row],[Peso Actual]],Tabla!$F$3:$H$482,3,1),VLOOKUP(Tabla14[[#This Row],[Peso Actual]],Tabla!$F$3:$H$482,2,1)),"")</f>
        <v/>
      </c>
      <c r="AB20" s="28" t="e">
        <f>+Tabla14[[#This Row],[Biomasa de camaron  ]]/Tabla14[[#This Row],[Ha]]*2.2</f>
        <v>#VALUE!</v>
      </c>
      <c r="AC20" s="28" t="e">
        <f t="shared" si="3"/>
        <v>#VALUE!</v>
      </c>
      <c r="AD20" s="41" t="e">
        <f t="shared" si="4"/>
        <v>#VALUE!</v>
      </c>
      <c r="AE20" s="28">
        <f>+Tabla14[[#This Row],[Biomasa de Camaron bajo reportado]]*2.2</f>
        <v>0</v>
      </c>
      <c r="AF20" s="28">
        <f>+(Tabla14[[#This Row],[Sobrevivencia total  en finca]]/100)*Tabla14[[#This Row],[Animales vivos reportados]]*Tabla14[[#This Row],[Peso Actual]]/1000</f>
        <v>0</v>
      </c>
      <c r="AG20" s="28" t="e">
        <f>+Tabla14[[#This Row],[Biomasa de camaron alimentacion actual]]/Tabla14[[#This Row],[Ha]]*2.2</f>
        <v>#VALUE!</v>
      </c>
      <c r="AH20" s="28" t="e">
        <f>(Tabla14[[#This Row],[Kg Alimento diario ]]/Tabla14[[#This Row],[BW Sugerida]])</f>
        <v>#VALUE!</v>
      </c>
      <c r="AI20" s="85" t="e">
        <f>(Tabla14[[#This Row],[Kg Minimo]]/Tabla14[[#This Row],[BW(min)]])</f>
        <v>#VALUE!</v>
      </c>
      <c r="AJ20" s="28">
        <f>Tabla14[[#This Row],[Densidad/ha]]*Tabla14[[#This Row],[Ha]]</f>
        <v>0</v>
      </c>
      <c r="AK20" s="29"/>
      <c r="AL20" s="28">
        <f>Tabla14[[#This Row],[Animales Sembrados]]*Tabla14[[#This Row],[Sobrevivencia total  en finca]]/100</f>
        <v>0</v>
      </c>
      <c r="AM20" s="41">
        <f>Tabla14[[#This Row],[Animales vivos reportados]]*Tabla14[[#This Row],[Peso Actual]]/454/Tabla14[[#This Row],[Ha]]</f>
        <v>0</v>
      </c>
      <c r="AN20" s="28" t="str">
        <f xml:space="preserve"> IFERROR(
(Tabla14[[#This Row],[Biomasa de camaron  ]]*1000/Tabla14[[#This Row],[Peso Actual]]),"")</f>
        <v/>
      </c>
      <c r="AO20" s="28" t="str">
        <f>IFERROR(((Tabla14[[#This Row],[Biomasa de camaron alimentacion actual]]*1000)/Tabla14[[#This Row],[Peso Actual]]),"")</f>
        <v/>
      </c>
      <c r="AP20" s="87" t="str">
        <f>IFERROR( (
(Tabla14[[#This Row],[Biomasa de camaron alimentacion 2]]*1000)/Tabla14[[#This Row],[Peso Actual]]),"")</f>
        <v/>
      </c>
      <c r="AQ20" s="85">
        <v>14</v>
      </c>
      <c r="AR20" s="105">
        <f>IFERROR(Tabla14[[#This Row],[Animales vivos reportados]]/Tabla14[[#This Row],['#AA]],"")</f>
        <v>0</v>
      </c>
      <c r="AS20" s="93">
        <f>IFERROR(((Tabla14[[#This Row],[Lbs/ha      sin Raleo]]*Tabla14[[#This Row],[Ha]])/Tabla14[[#This Row],['#AA]])/2.2046,"")</f>
        <v>0</v>
      </c>
      <c r="AT20" s="93">
        <v>10</v>
      </c>
      <c r="AU20" s="93">
        <v>16</v>
      </c>
      <c r="AV20" s="106">
        <v>0.65</v>
      </c>
      <c r="AW20" s="93">
        <f>Tabla14[[#This Row],[Hp/AR]]*Tabla14[[#This Row],[%Efi AR]]</f>
        <v>10.4</v>
      </c>
      <c r="AX20" s="93">
        <f>Tabla14[[#This Row],[Hp/Efi]]*Tabla14[[#This Row],['#AR]]</f>
        <v>104</v>
      </c>
      <c r="AY20" s="107">
        <f>Tabla14[[#This Row],[Total hp/AR]]/Tabla14[[#This Row],[Ha]]</f>
        <v>29.453412630982722</v>
      </c>
      <c r="AZ20" s="60" t="str">
        <f>IF(Tabla14[[#This Row],[Peso Actual]]&gt;X13,Tabla14[[#This Row],[Peso Actual]]-X19,"")</f>
        <v/>
      </c>
      <c r="BA20" s="39"/>
      <c r="BB20" s="16">
        <v>100</v>
      </c>
      <c r="BC20" s="35">
        <f>IFERROR(Tabla14[[#This Row],[Animales vivos reportados]]/Tabla14[[#This Row],[Ha]]/10000,"")</f>
        <v>0</v>
      </c>
      <c r="BD20" s="91" t="str">
        <f>IFERROR((Tabla14[[#This Row],[CXMT ACTUAL]]*10000*Tabla14[[#This Row],[Ha]])/Tabla14[[#This Row],[Animales Sembrados]],"")</f>
        <v/>
      </c>
      <c r="BE20" s="70" t="str">
        <f>IFERROR( Tabla14[[#This Row],[Animales según alimentación actual]]/(Tabla14[[#This Row],[Densidad/ha]]*Tabla14[[#This Row],[Ha]]),"")</f>
        <v/>
      </c>
      <c r="BF20" s="120"/>
    </row>
    <row r="21" spans="1:58" x14ac:dyDescent="0.35">
      <c r="A21" s="18">
        <v>712</v>
      </c>
      <c r="B21" s="110" t="s">
        <v>95</v>
      </c>
      <c r="C21" s="17">
        <v>3.5310000000000001</v>
      </c>
      <c r="D21" s="112">
        <v>46170</v>
      </c>
      <c r="E21" s="113">
        <f t="shared" si="5"/>
        <v>46199</v>
      </c>
      <c r="F21" s="12">
        <f>Tabla14[[#This Row],[Fecha]]-Tabla14[[#This Row],[Siembra]]</f>
        <v>29</v>
      </c>
      <c r="G21" s="114" t="str">
        <f>IFERROR((((Tabla14[[#This Row],[Kg Alimento diario ]]-Tabla14[[#This Row],[Kg Alimento Sugerido]])/(Tabla14[[#This Row],[Kg Alimento Sugerido]])*100)),"")</f>
        <v/>
      </c>
      <c r="H21" s="38"/>
      <c r="I21" s="68">
        <f ca="1">IFERROR(
   IF(OFFSET(Tabla14[[#This Row],[Psc]],-1,0)=Tabla14[[#This Row],[Psc]],
      OFFSET(Tabla14[[#This Row],[Bal Acumulado]],-1,0)+Tabla14[[#This Row],[Kg/ semanal]],
      Tabla14[[#This Row],[Kg/ semanal]]
   ),
   Tabla14[[#This Row],[Kg/ semanal]]
)</f>
        <v>5475</v>
      </c>
      <c r="J21" s="38" t="str">
        <f ca="1">IFERROR(((Tabla14[[#This Row],[Bal Acumulado]]*2.2046/Tabla14[[#This Row],[Ha]])/L21),"")</f>
        <v/>
      </c>
      <c r="K21" s="68">
        <f>Tabla14[[#This Row],[Animales vivos reportados]]*Tabla14[[#This Row],[Peso Actual]]/454/Tabla14[[#This Row],[Ha]]</f>
        <v>0</v>
      </c>
      <c r="L21" s="68">
        <f>Tabla14[[#This Row],[Animales vivos reportados]]*Tabla14[[#This Row],[Peso Actual]]/454/Tabla14[[#This Row],[Ha]]+O19</f>
        <v>0</v>
      </c>
      <c r="M21" s="68"/>
      <c r="N21" s="68"/>
      <c r="O21" s="68">
        <f>Tabla14[[#This Row],[Raleo/total]]/Tabla14[[#This Row],[Ha]]</f>
        <v>0</v>
      </c>
      <c r="P21" s="115" t="str">
        <f>IFERROR(Tabla14[[#This Row],[Kg Alimento diario ]]/Tabla14[[#This Row],[Ha]],"")</f>
        <v/>
      </c>
      <c r="Q21" s="116" t="str">
        <f>IFERROR((Tabla14[[#This Row],[Kg Alimento diario ]])/(Tabla14[[#This Row],[Animales vivos reportados]]/100000),"")</f>
        <v/>
      </c>
      <c r="R21" s="104"/>
      <c r="S21" s="89" t="e">
        <f>Tabla14[[#This Row],[Kg/ semanal]]/Tabla14[[#This Row],[Dias alimentados]]</f>
        <v>#DIV/0!</v>
      </c>
      <c r="T21" s="117">
        <f>Tabla14[[#This Row],[Kg Alimento Sugerido]]/Tabla14[[#This Row],[Ha]]</f>
        <v>0</v>
      </c>
      <c r="U21" s="29"/>
      <c r="V21" s="69"/>
      <c r="W21" s="69">
        <f>Tabla14[[#This Row],[Kg Minimo]]/Tabla14[[#This Row],[Ha]]</f>
        <v>0</v>
      </c>
      <c r="X21" s="118"/>
      <c r="Y21" s="14" t="str">
        <f>IFERROR(Tabla14[[#This Row],[Kg Alimento diario ]]/(Tabla14[[#This Row],[Peso Actual]]/1000*Tabla14[[#This Row],[Animales vivos reportados]]),"")</f>
        <v/>
      </c>
      <c r="Z21" s="6" t="str">
        <f>IFERROR(IF($Z$1="NormalCalor",
     VLOOKUP(Tabla14[[#This Row],[Peso Actual]], Tabla!$A$4:$C$76, 2, TRUE)/100,
     VLOOKUP(Tabla14[[#This Row],[Peso Actual]], Tabla!$A$4:$C$76, 3, TRUE)/100),
"")</f>
        <v/>
      </c>
      <c r="AA21" s="40" t="str">
        <f>IFERROR(IF($AA$1="MinFrio",VLOOKUP(Tabla14[[#This Row],[Peso Actual]],Tabla!$F$3:$H$482,3,1),VLOOKUP(Tabla14[[#This Row],[Peso Actual]],Tabla!$F$3:$H$482,2,1)),"")</f>
        <v/>
      </c>
      <c r="AB21" s="28" t="e">
        <f>+Tabla14[[#This Row],[Biomasa de camaron  ]]/Tabla14[[#This Row],[Ha]]*2.2</f>
        <v>#VALUE!</v>
      </c>
      <c r="AC21" s="28" t="e">
        <f t="shared" si="3"/>
        <v>#VALUE!</v>
      </c>
      <c r="AD21" s="41" t="e">
        <f t="shared" si="4"/>
        <v>#VALUE!</v>
      </c>
      <c r="AE21" s="28">
        <f>+Tabla14[[#This Row],[Biomasa de Camaron bajo reportado]]*2.2</f>
        <v>0</v>
      </c>
      <c r="AF21" s="28">
        <f>+(Tabla14[[#This Row],[Sobrevivencia total  en finca]]/100)*Tabla14[[#This Row],[Animales vivos reportados]]*Tabla14[[#This Row],[Peso Actual]]/1000</f>
        <v>0</v>
      </c>
      <c r="AG21" s="28" t="e">
        <f>+Tabla14[[#This Row],[Biomasa de camaron alimentacion actual]]/Tabla14[[#This Row],[Ha]]*2.2</f>
        <v>#DIV/0!</v>
      </c>
      <c r="AH21" s="28" t="e">
        <f>(Tabla14[[#This Row],[Kg Alimento diario ]]/Tabla14[[#This Row],[BW Sugerida]])</f>
        <v>#DIV/0!</v>
      </c>
      <c r="AI21" s="85" t="e">
        <f>(Tabla14[[#This Row],[Kg Minimo]]/Tabla14[[#This Row],[BW(min)]])</f>
        <v>#VALUE!</v>
      </c>
      <c r="AJ21" s="28">
        <f>Tabla14[[#This Row],[Densidad/ha]]*Tabla14[[#This Row],[Ha]]</f>
        <v>0</v>
      </c>
      <c r="AK21" s="29"/>
      <c r="AL21" s="28">
        <f>Tabla14[[#This Row],[Animales Sembrados]]*Tabla14[[#This Row],[Sobrevivencia total  en finca]]/100</f>
        <v>0</v>
      </c>
      <c r="AM21" s="41">
        <f>Tabla14[[#This Row],[Animales vivos reportados]]*Tabla14[[#This Row],[Peso Actual]]/454/Tabla14[[#This Row],[Ha]]</f>
        <v>0</v>
      </c>
      <c r="AN21" s="28" t="str">
        <f xml:space="preserve"> IFERROR(
(Tabla14[[#This Row],[Biomasa de camaron  ]]*1000/Tabla14[[#This Row],[Peso Actual]]),"")</f>
        <v/>
      </c>
      <c r="AO21" s="28" t="str">
        <f>IFERROR(((Tabla14[[#This Row],[Biomasa de camaron alimentacion actual]]*1000)/Tabla14[[#This Row],[Peso Actual]]),"")</f>
        <v/>
      </c>
      <c r="AP21" s="87" t="str">
        <f>IFERROR( (
(Tabla14[[#This Row],[Biomasa de camaron alimentacion 2]]*1000)/Tabla14[[#This Row],[Peso Actual]]),"")</f>
        <v/>
      </c>
      <c r="AQ21" s="85">
        <v>14</v>
      </c>
      <c r="AR21" s="105">
        <f>IFERROR(Tabla14[[#This Row],[Animales vivos reportados]]/Tabla14[[#This Row],['#AA]],"")</f>
        <v>0</v>
      </c>
      <c r="AS21" s="93">
        <f>IFERROR(((Tabla14[[#This Row],[Lbs/ha      sin Raleo]]*Tabla14[[#This Row],[Ha]])/Tabla14[[#This Row],['#AA]])/2.2046,"")</f>
        <v>0</v>
      </c>
      <c r="AT21" s="93">
        <v>10</v>
      </c>
      <c r="AU21" s="93">
        <v>16</v>
      </c>
      <c r="AV21" s="106">
        <v>0.65</v>
      </c>
      <c r="AW21" s="93">
        <f>Tabla14[[#This Row],[Hp/AR]]*Tabla14[[#This Row],[%Efi AR]]</f>
        <v>10.4</v>
      </c>
      <c r="AX21" s="93">
        <f>Tabla14[[#This Row],[Hp/Efi]]*Tabla14[[#This Row],['#AR]]</f>
        <v>104</v>
      </c>
      <c r="AY21" s="107">
        <f>Tabla14[[#This Row],[Total hp/AR]]/Tabla14[[#This Row],[Ha]]</f>
        <v>29.453412630982722</v>
      </c>
      <c r="AZ21" s="60" t="str">
        <f>IF(Tabla14[[#This Row],[Peso Actual]]&gt;X14,Tabla14[[#This Row],[Peso Actual]]-X20,"")</f>
        <v/>
      </c>
      <c r="BA21" s="39"/>
      <c r="BB21" s="16">
        <v>100</v>
      </c>
      <c r="BC21" s="35">
        <f>IFERROR(Tabla14[[#This Row],[Animales vivos reportados]]/Tabla14[[#This Row],[Ha]]/10000,"")</f>
        <v>0</v>
      </c>
      <c r="BD21" s="91" t="str">
        <f>IFERROR((Tabla14[[#This Row],[CXMT ACTUAL]]*10000*Tabla14[[#This Row],[Ha]])/Tabla14[[#This Row],[Animales Sembrados]],"")</f>
        <v/>
      </c>
      <c r="BE21" s="70" t="str">
        <f>IFERROR( Tabla14[[#This Row],[Animales según alimentación actual]]/(Tabla14[[#This Row],[Densidad/ha]]*Tabla14[[#This Row],[Ha]]),"")</f>
        <v/>
      </c>
      <c r="BF21" s="120"/>
    </row>
    <row r="22" spans="1:58" x14ac:dyDescent="0.35">
      <c r="A22" s="18">
        <v>712</v>
      </c>
      <c r="B22" s="110" t="s">
        <v>95</v>
      </c>
      <c r="C22" s="17">
        <v>3.5310000000000001</v>
      </c>
      <c r="D22" s="112">
        <v>46170</v>
      </c>
      <c r="E22" s="113">
        <f t="shared" si="5"/>
        <v>46206</v>
      </c>
      <c r="F22" s="12">
        <f>Tabla14[[#This Row],[Fecha]]-Tabla14[[#This Row],[Siembra]]</f>
        <v>36</v>
      </c>
      <c r="G22" s="114" t="str">
        <f>IFERROR((((Tabla14[[#This Row],[Kg Alimento diario ]]-Tabla14[[#This Row],[Kg Alimento Sugerido]])/(Tabla14[[#This Row],[Kg Alimento Sugerido]])*100)),"")</f>
        <v/>
      </c>
      <c r="H22" s="38"/>
      <c r="I22" s="68">
        <f ca="1">IFERROR(
   IF(OFFSET(Tabla14[[#This Row],[Psc]],-1,0)=Tabla14[[#This Row],[Psc]],
      OFFSET(Tabla14[[#This Row],[Bal Acumulado]],-1,0)+Tabla14[[#This Row],[Kg/ semanal]],
      Tabla14[[#This Row],[Kg/ semanal]]
   ),
   Tabla14[[#This Row],[Kg/ semanal]]
)</f>
        <v>5475</v>
      </c>
      <c r="J22" s="38" t="str">
        <f ca="1">IFERROR(((Tabla14[[#This Row],[Bal Acumulado]]*2.2046/Tabla14[[#This Row],[Ha]])/L22),"")</f>
        <v/>
      </c>
      <c r="K22" s="68">
        <f>Tabla14[[#This Row],[Animales vivos reportados]]*Tabla14[[#This Row],[Peso Actual]]/454/Tabla14[[#This Row],[Ha]]</f>
        <v>0</v>
      </c>
      <c r="L22" s="68">
        <f>Tabla14[[#This Row],[Animales vivos reportados]]*Tabla14[[#This Row],[Peso Actual]]/454/Tabla14[[#This Row],[Ha]]+O20</f>
        <v>0</v>
      </c>
      <c r="M22" s="68"/>
      <c r="N22" s="68"/>
      <c r="O22" s="68">
        <f>Tabla14[[#This Row],[Raleo/total]]/Tabla14[[#This Row],[Ha]]</f>
        <v>0</v>
      </c>
      <c r="P22" s="115" t="str">
        <f>IFERROR(Tabla14[[#This Row],[Kg Alimento diario ]]/Tabla14[[#This Row],[Ha]],"")</f>
        <v/>
      </c>
      <c r="Q22" s="116" t="str">
        <f>IFERROR((Tabla14[[#This Row],[Kg Alimento diario ]])/(Tabla14[[#This Row],[Animales vivos reportados]]/100000),"")</f>
        <v/>
      </c>
      <c r="R22" s="104"/>
      <c r="S22" s="89" t="e">
        <f>Tabla14[[#This Row],[Kg/ semanal]]/Tabla14[[#This Row],[Dias alimentados]]</f>
        <v>#DIV/0!</v>
      </c>
      <c r="T22" s="117">
        <f>Tabla14[[#This Row],[Kg Alimento Sugerido]]/Tabla14[[#This Row],[Ha]]</f>
        <v>0</v>
      </c>
      <c r="U22" s="29"/>
      <c r="V22" s="69"/>
      <c r="W22" s="69">
        <f>Tabla14[[#This Row],[Kg Minimo]]/Tabla14[[#This Row],[Ha]]</f>
        <v>0</v>
      </c>
      <c r="X22" s="118"/>
      <c r="Y22" s="14" t="str">
        <f>IFERROR(Tabla14[[#This Row],[Kg Alimento diario ]]/(Tabla14[[#This Row],[Peso Actual]]/1000*Tabla14[[#This Row],[Animales vivos reportados]]),"")</f>
        <v/>
      </c>
      <c r="Z22" s="6" t="str">
        <f>IFERROR(IF($Z$1="NormalCalor",
     VLOOKUP(Tabla14[[#This Row],[Peso Actual]], Tabla!$A$4:$C$76, 2, TRUE)/100,
     VLOOKUP(Tabla14[[#This Row],[Peso Actual]], Tabla!$A$4:$C$76, 3, TRUE)/100),
"")</f>
        <v/>
      </c>
      <c r="AA22" s="40" t="str">
        <f>IFERROR(IF($AA$1="MinFrio",VLOOKUP(Tabla14[[#This Row],[Peso Actual]],Tabla!$F$3:$H$482,3,1),VLOOKUP(Tabla14[[#This Row],[Peso Actual]],Tabla!$F$3:$H$482,2,1)),"")</f>
        <v/>
      </c>
      <c r="AB22" s="28" t="e">
        <f>+Tabla14[[#This Row],[Biomasa de camaron  ]]/Tabla14[[#This Row],[Ha]]*2.2</f>
        <v>#VALUE!</v>
      </c>
      <c r="AC22" s="28" t="e">
        <f t="shared" si="3"/>
        <v>#VALUE!</v>
      </c>
      <c r="AD22" s="41" t="e">
        <f t="shared" si="4"/>
        <v>#VALUE!</v>
      </c>
      <c r="AE22" s="28">
        <f>+Tabla14[[#This Row],[Biomasa de Camaron bajo reportado]]*2.2</f>
        <v>0</v>
      </c>
      <c r="AF22" s="28">
        <f>+(Tabla14[[#This Row],[Sobrevivencia total  en finca]]/100)*Tabla14[[#This Row],[Animales vivos reportados]]*Tabla14[[#This Row],[Peso Actual]]/1000</f>
        <v>0</v>
      </c>
      <c r="AG22" s="28" t="e">
        <f>+Tabla14[[#This Row],[Biomasa de camaron alimentacion actual]]/Tabla14[[#This Row],[Ha]]*2.2</f>
        <v>#DIV/0!</v>
      </c>
      <c r="AH22" s="28" t="e">
        <f>(Tabla14[[#This Row],[Kg Alimento diario ]]/Tabla14[[#This Row],[BW Sugerida]])</f>
        <v>#DIV/0!</v>
      </c>
      <c r="AI22" s="85" t="e">
        <f>(Tabla14[[#This Row],[Kg Minimo]]/Tabla14[[#This Row],[BW(min)]])</f>
        <v>#VALUE!</v>
      </c>
      <c r="AJ22" s="28">
        <f>Tabla14[[#This Row],[Densidad/ha]]*Tabla14[[#This Row],[Ha]]</f>
        <v>0</v>
      </c>
      <c r="AK22" s="29"/>
      <c r="AL22" s="28">
        <f>Tabla14[[#This Row],[Animales Sembrados]]*Tabla14[[#This Row],[Sobrevivencia total  en finca]]/100</f>
        <v>0</v>
      </c>
      <c r="AM22" s="41">
        <f>Tabla14[[#This Row],[Animales vivos reportados]]*Tabla14[[#This Row],[Peso Actual]]/454/Tabla14[[#This Row],[Ha]]</f>
        <v>0</v>
      </c>
      <c r="AN22" s="28" t="str">
        <f xml:space="preserve"> IFERROR(
(Tabla14[[#This Row],[Biomasa de camaron  ]]*1000/Tabla14[[#This Row],[Peso Actual]]),"")</f>
        <v/>
      </c>
      <c r="AO22" s="28" t="str">
        <f>IFERROR(((Tabla14[[#This Row],[Biomasa de camaron alimentacion actual]]*1000)/Tabla14[[#This Row],[Peso Actual]]),"")</f>
        <v/>
      </c>
      <c r="AP22" s="87" t="str">
        <f>IFERROR( (
(Tabla14[[#This Row],[Biomasa de camaron alimentacion 2]]*1000)/Tabla14[[#This Row],[Peso Actual]]),"")</f>
        <v/>
      </c>
      <c r="AQ22" s="85">
        <v>14</v>
      </c>
      <c r="AR22" s="105">
        <f>IFERROR(Tabla14[[#This Row],[Animales vivos reportados]]/Tabla14[[#This Row],['#AA]],"")</f>
        <v>0</v>
      </c>
      <c r="AS22" s="93">
        <f>IFERROR(((Tabla14[[#This Row],[Lbs/ha      sin Raleo]]*Tabla14[[#This Row],[Ha]])/Tabla14[[#This Row],['#AA]])/2.2046,"")</f>
        <v>0</v>
      </c>
      <c r="AT22" s="93">
        <v>10</v>
      </c>
      <c r="AU22" s="93">
        <v>16</v>
      </c>
      <c r="AV22" s="106">
        <v>0.65</v>
      </c>
      <c r="AW22" s="93">
        <f>Tabla14[[#This Row],[Hp/AR]]*Tabla14[[#This Row],[%Efi AR]]</f>
        <v>10.4</v>
      </c>
      <c r="AX22" s="93">
        <f>Tabla14[[#This Row],[Hp/Efi]]*Tabla14[[#This Row],['#AR]]</f>
        <v>104</v>
      </c>
      <c r="AY22" s="107">
        <f>Tabla14[[#This Row],[Total hp/AR]]/Tabla14[[#This Row],[Ha]]</f>
        <v>29.453412630982722</v>
      </c>
      <c r="AZ22" s="60" t="str">
        <f>IF(Tabla14[[#This Row],[Peso Actual]]&gt;X15,Tabla14[[#This Row],[Peso Actual]]-X21,"")</f>
        <v/>
      </c>
      <c r="BA22" s="39"/>
      <c r="BB22" s="16">
        <v>100</v>
      </c>
      <c r="BC22" s="35">
        <f>IFERROR(Tabla14[[#This Row],[Animales vivos reportados]]/Tabla14[[#This Row],[Ha]]/10000,"")</f>
        <v>0</v>
      </c>
      <c r="BD22" s="91" t="str">
        <f>IFERROR((Tabla14[[#This Row],[CXMT ACTUAL]]*10000*Tabla14[[#This Row],[Ha]])/Tabla14[[#This Row],[Animales Sembrados]],"")</f>
        <v/>
      </c>
      <c r="BE22" s="70" t="str">
        <f>IFERROR( Tabla14[[#This Row],[Animales según alimentación actual]]/(Tabla14[[#This Row],[Densidad/ha]]*Tabla14[[#This Row],[Ha]]),"")</f>
        <v/>
      </c>
      <c r="BF22" s="120"/>
    </row>
    <row r="23" spans="1:58" x14ac:dyDescent="0.35">
      <c r="A23" s="18">
        <v>712</v>
      </c>
      <c r="B23" s="110" t="s">
        <v>95</v>
      </c>
      <c r="C23" s="17">
        <v>3.5310000000000001</v>
      </c>
      <c r="D23" s="112">
        <v>46170</v>
      </c>
      <c r="E23" s="113">
        <f t="shared" si="5"/>
        <v>46213</v>
      </c>
      <c r="F23" s="12">
        <f>Tabla14[[#This Row],[Fecha]]-Tabla14[[#This Row],[Siembra]]</f>
        <v>43</v>
      </c>
      <c r="G23" s="114" t="str">
        <f>IFERROR((((Tabla14[[#This Row],[Kg Alimento diario ]]-Tabla14[[#This Row],[Kg Alimento Sugerido]])/(Tabla14[[#This Row],[Kg Alimento Sugerido]])*100)),"")</f>
        <v/>
      </c>
      <c r="H23" s="38"/>
      <c r="I23" s="68">
        <f ca="1">IFERROR(
   IF(OFFSET(Tabla14[[#This Row],[Psc]],-1,0)=Tabla14[[#This Row],[Psc]],
      OFFSET(Tabla14[[#This Row],[Bal Acumulado]],-1,0)+Tabla14[[#This Row],[Kg/ semanal]],
      Tabla14[[#This Row],[Kg/ semanal]]
   ),
   Tabla14[[#This Row],[Kg/ semanal]]
)</f>
        <v>5475</v>
      </c>
      <c r="J23" s="38" t="str">
        <f ca="1">IFERROR(((Tabla14[[#This Row],[Bal Acumulado]]*2.2046/Tabla14[[#This Row],[Ha]])/L23),"")</f>
        <v/>
      </c>
      <c r="K23" s="68">
        <f>Tabla14[[#This Row],[Animales vivos reportados]]*Tabla14[[#This Row],[Peso Actual]]/454/Tabla14[[#This Row],[Ha]]</f>
        <v>0</v>
      </c>
      <c r="L23" s="68">
        <f>Tabla14[[#This Row],[Animales vivos reportados]]*Tabla14[[#This Row],[Peso Actual]]/454/Tabla14[[#This Row],[Ha]]+O21</f>
        <v>0</v>
      </c>
      <c r="M23" s="68"/>
      <c r="N23" s="68"/>
      <c r="O23" s="68">
        <f>Tabla14[[#This Row],[Raleo/total]]/Tabla14[[#This Row],[Ha]]</f>
        <v>0</v>
      </c>
      <c r="P23" s="115" t="str">
        <f>IFERROR(Tabla14[[#This Row],[Kg Alimento diario ]]/Tabla14[[#This Row],[Ha]],"")</f>
        <v/>
      </c>
      <c r="Q23" s="116" t="str">
        <f>IFERROR((Tabla14[[#This Row],[Kg Alimento diario ]])/(Tabla14[[#This Row],[Animales vivos reportados]]/100000),"")</f>
        <v/>
      </c>
      <c r="R23" s="104"/>
      <c r="S23" s="89" t="e">
        <f>Tabla14[[#This Row],[Kg/ semanal]]/Tabla14[[#This Row],[Dias alimentados]]</f>
        <v>#DIV/0!</v>
      </c>
      <c r="T23" s="117">
        <f>Tabla14[[#This Row],[Kg Alimento Sugerido]]/Tabla14[[#This Row],[Ha]]</f>
        <v>0</v>
      </c>
      <c r="U23" s="29"/>
      <c r="V23" s="69"/>
      <c r="W23" s="69">
        <f>Tabla14[[#This Row],[Kg Minimo]]/Tabla14[[#This Row],[Ha]]</f>
        <v>0</v>
      </c>
      <c r="X23" s="118"/>
      <c r="Y23" s="14" t="str">
        <f>IFERROR(Tabla14[[#This Row],[Kg Alimento diario ]]/(Tabla14[[#This Row],[Peso Actual]]/1000*Tabla14[[#This Row],[Animales vivos reportados]]),"")</f>
        <v/>
      </c>
      <c r="Z23" s="6" t="str">
        <f>IFERROR(IF($Z$1="NormalCalor",
     VLOOKUP(Tabla14[[#This Row],[Peso Actual]], Tabla!$A$4:$C$76, 2, TRUE)/100,
     VLOOKUP(Tabla14[[#This Row],[Peso Actual]], Tabla!$A$4:$C$76, 3, TRUE)/100),
"")</f>
        <v/>
      </c>
      <c r="AA23" s="40" t="str">
        <f>IFERROR(IF($AA$1="MinFrio",VLOOKUP(Tabla14[[#This Row],[Peso Actual]],Tabla!$F$3:$H$482,3,1),VLOOKUP(Tabla14[[#This Row],[Peso Actual]],Tabla!$F$3:$H$482,2,1)),"")</f>
        <v/>
      </c>
      <c r="AB23" s="28" t="e">
        <f>+Tabla14[[#This Row],[Biomasa de camaron  ]]/Tabla14[[#This Row],[Ha]]*2.2</f>
        <v>#VALUE!</v>
      </c>
      <c r="AC23" s="28" t="e">
        <f t="shared" si="3"/>
        <v>#VALUE!</v>
      </c>
      <c r="AD23" s="41" t="e">
        <f t="shared" si="4"/>
        <v>#VALUE!</v>
      </c>
      <c r="AE23" s="28">
        <f>+Tabla14[[#This Row],[Biomasa de Camaron bajo reportado]]*2.2</f>
        <v>0</v>
      </c>
      <c r="AF23" s="28">
        <f>+(Tabla14[[#This Row],[Sobrevivencia total  en finca]]/100)*Tabla14[[#This Row],[Animales vivos reportados]]*Tabla14[[#This Row],[Peso Actual]]/1000</f>
        <v>0</v>
      </c>
      <c r="AG23" s="28" t="e">
        <f>+Tabla14[[#This Row],[Biomasa de camaron alimentacion actual]]/Tabla14[[#This Row],[Ha]]*2.2</f>
        <v>#DIV/0!</v>
      </c>
      <c r="AH23" s="28" t="e">
        <f>(Tabla14[[#This Row],[Kg Alimento diario ]]/Tabla14[[#This Row],[BW Sugerida]])</f>
        <v>#DIV/0!</v>
      </c>
      <c r="AI23" s="85" t="e">
        <f>(Tabla14[[#This Row],[Kg Minimo]]/Tabla14[[#This Row],[BW(min)]])</f>
        <v>#VALUE!</v>
      </c>
      <c r="AJ23" s="28">
        <f>Tabla14[[#This Row],[Densidad/ha]]*Tabla14[[#This Row],[Ha]]</f>
        <v>0</v>
      </c>
      <c r="AK23" s="29"/>
      <c r="AL23" s="28">
        <f>Tabla14[[#This Row],[Animales Sembrados]]*Tabla14[[#This Row],[Sobrevivencia total  en finca]]/100</f>
        <v>0</v>
      </c>
      <c r="AM23" s="41">
        <f>Tabla14[[#This Row],[Animales vivos reportados]]*Tabla14[[#This Row],[Peso Actual]]/454/Tabla14[[#This Row],[Ha]]</f>
        <v>0</v>
      </c>
      <c r="AN23" s="28" t="str">
        <f xml:space="preserve"> IFERROR(
(Tabla14[[#This Row],[Biomasa de camaron  ]]*1000/Tabla14[[#This Row],[Peso Actual]]),"")</f>
        <v/>
      </c>
      <c r="AO23" s="28" t="str">
        <f>IFERROR(((Tabla14[[#This Row],[Biomasa de camaron alimentacion actual]]*1000)/Tabla14[[#This Row],[Peso Actual]]),"")</f>
        <v/>
      </c>
      <c r="AP23" s="87" t="str">
        <f>IFERROR( (
(Tabla14[[#This Row],[Biomasa de camaron alimentacion 2]]*1000)/Tabla14[[#This Row],[Peso Actual]]),"")</f>
        <v/>
      </c>
      <c r="AQ23" s="85">
        <v>14</v>
      </c>
      <c r="AR23" s="105">
        <f>IFERROR(Tabla14[[#This Row],[Animales vivos reportados]]/Tabla14[[#This Row],['#AA]],"")</f>
        <v>0</v>
      </c>
      <c r="AS23" s="93">
        <f>IFERROR(((Tabla14[[#This Row],[Lbs/ha      sin Raleo]]*Tabla14[[#This Row],[Ha]])/Tabla14[[#This Row],['#AA]])/2.2046,"")</f>
        <v>0</v>
      </c>
      <c r="AT23" s="93">
        <v>10</v>
      </c>
      <c r="AU23" s="93">
        <v>16</v>
      </c>
      <c r="AV23" s="106">
        <v>0.65</v>
      </c>
      <c r="AW23" s="93">
        <f>Tabla14[[#This Row],[Hp/AR]]*Tabla14[[#This Row],[%Efi AR]]</f>
        <v>10.4</v>
      </c>
      <c r="AX23" s="93">
        <f>Tabla14[[#This Row],[Hp/Efi]]*Tabla14[[#This Row],['#AR]]</f>
        <v>104</v>
      </c>
      <c r="AY23" s="107">
        <f>Tabla14[[#This Row],[Total hp/AR]]/Tabla14[[#This Row],[Ha]]</f>
        <v>29.453412630982722</v>
      </c>
      <c r="AZ23" s="60" t="str">
        <f>IF(Tabla14[[#This Row],[Peso Actual]]&gt;X16,Tabla14[[#This Row],[Peso Actual]]-X22,"")</f>
        <v/>
      </c>
      <c r="BA23" s="39"/>
      <c r="BB23" s="16">
        <v>100</v>
      </c>
      <c r="BC23" s="35">
        <f>IFERROR(Tabla14[[#This Row],[Animales vivos reportados]]/Tabla14[[#This Row],[Ha]]/10000,"")</f>
        <v>0</v>
      </c>
      <c r="BD23" s="91" t="str">
        <f>IFERROR((Tabla14[[#This Row],[CXMT ACTUAL]]*10000*Tabla14[[#This Row],[Ha]])/Tabla14[[#This Row],[Animales Sembrados]],"")</f>
        <v/>
      </c>
      <c r="BE23" s="70" t="str">
        <f>IFERROR( Tabla14[[#This Row],[Animales según alimentación actual]]/(Tabla14[[#This Row],[Densidad/ha]]*Tabla14[[#This Row],[Ha]]),"")</f>
        <v/>
      </c>
      <c r="BF23" s="120"/>
    </row>
    <row r="24" spans="1:58" x14ac:dyDescent="0.35">
      <c r="A24" s="18">
        <v>712</v>
      </c>
      <c r="B24" s="110" t="s">
        <v>95</v>
      </c>
      <c r="C24" s="17">
        <v>3.5310000000000001</v>
      </c>
      <c r="D24" s="112">
        <v>46170</v>
      </c>
      <c r="E24" s="113">
        <f t="shared" si="5"/>
        <v>46220</v>
      </c>
      <c r="F24" s="12">
        <f>Tabla14[[#This Row],[Fecha]]-Tabla14[[#This Row],[Siembra]]</f>
        <v>50</v>
      </c>
      <c r="G24" s="114" t="str">
        <f>IFERROR((((Tabla14[[#This Row],[Kg Alimento diario ]]-Tabla14[[#This Row],[Kg Alimento Sugerido]])/(Tabla14[[#This Row],[Kg Alimento Sugerido]])*100)),"")</f>
        <v/>
      </c>
      <c r="H24" s="38"/>
      <c r="I24" s="68">
        <f ca="1">IFERROR(
   IF(OFFSET(Tabla14[[#This Row],[Psc]],-1,0)=Tabla14[[#This Row],[Psc]],
      OFFSET(Tabla14[[#This Row],[Bal Acumulado]],-1,0)+Tabla14[[#This Row],[Kg/ semanal]],
      Tabla14[[#This Row],[Kg/ semanal]]
   ),
   Tabla14[[#This Row],[Kg/ semanal]]
)</f>
        <v>5475</v>
      </c>
      <c r="J24" s="38" t="str">
        <f ca="1">IFERROR(((Tabla14[[#This Row],[Bal Acumulado]]*2.2046/Tabla14[[#This Row],[Ha]])/L24),"")</f>
        <v/>
      </c>
      <c r="K24" s="68">
        <f>Tabla14[[#This Row],[Animales vivos reportados]]*Tabla14[[#This Row],[Peso Actual]]/454/Tabla14[[#This Row],[Ha]]</f>
        <v>0</v>
      </c>
      <c r="L24" s="68">
        <f>Tabla14[[#This Row],[Animales vivos reportados]]*Tabla14[[#This Row],[Peso Actual]]/454/Tabla14[[#This Row],[Ha]]+O22</f>
        <v>0</v>
      </c>
      <c r="M24" s="68"/>
      <c r="N24" s="68"/>
      <c r="O24" s="68">
        <f>Tabla14[[#This Row],[Raleo/total]]/Tabla14[[#This Row],[Ha]]</f>
        <v>0</v>
      </c>
      <c r="P24" s="115" t="str">
        <f>IFERROR(Tabla14[[#This Row],[Kg Alimento diario ]]/Tabla14[[#This Row],[Ha]],"")</f>
        <v/>
      </c>
      <c r="Q24" s="116" t="str">
        <f>IFERROR((Tabla14[[#This Row],[Kg Alimento diario ]])/(Tabla14[[#This Row],[Animales vivos reportados]]/100000),"")</f>
        <v/>
      </c>
      <c r="R24" s="104"/>
      <c r="S24" s="89" t="e">
        <f>Tabla14[[#This Row],[Kg/ semanal]]/Tabla14[[#This Row],[Dias alimentados]]</f>
        <v>#DIV/0!</v>
      </c>
      <c r="T24" s="117">
        <f>Tabla14[[#This Row],[Kg Alimento Sugerido]]/Tabla14[[#This Row],[Ha]]</f>
        <v>0</v>
      </c>
      <c r="U24" s="29"/>
      <c r="V24" s="69"/>
      <c r="W24" s="69">
        <f>Tabla14[[#This Row],[Kg Minimo]]/Tabla14[[#This Row],[Ha]]</f>
        <v>0</v>
      </c>
      <c r="X24" s="118"/>
      <c r="Y24" s="14" t="str">
        <f>IFERROR(Tabla14[[#This Row],[Kg Alimento diario ]]/(Tabla14[[#This Row],[Peso Actual]]/1000*Tabla14[[#This Row],[Animales vivos reportados]]),"")</f>
        <v/>
      </c>
      <c r="Z24" s="6" t="str">
        <f>IFERROR(IF($Z$1="NormalCalor",
     VLOOKUP(Tabla14[[#This Row],[Peso Actual]], Tabla!$A$4:$C$76, 2, TRUE)/100,
     VLOOKUP(Tabla14[[#This Row],[Peso Actual]], Tabla!$A$4:$C$76, 3, TRUE)/100),
"")</f>
        <v/>
      </c>
      <c r="AA24" s="40" t="str">
        <f>IFERROR(IF($AA$1="MinFrio",VLOOKUP(Tabla14[[#This Row],[Peso Actual]],Tabla!$F$3:$H$482,3,1),VLOOKUP(Tabla14[[#This Row],[Peso Actual]],Tabla!$F$3:$H$482,2,1)),"")</f>
        <v/>
      </c>
      <c r="AB24" s="28" t="e">
        <f>+Tabla14[[#This Row],[Biomasa de camaron  ]]/Tabla14[[#This Row],[Ha]]*2.2</f>
        <v>#VALUE!</v>
      </c>
      <c r="AC24" s="28" t="e">
        <f t="shared" si="3"/>
        <v>#VALUE!</v>
      </c>
      <c r="AD24" s="41" t="e">
        <f t="shared" si="4"/>
        <v>#VALUE!</v>
      </c>
      <c r="AE24" s="28">
        <f>+Tabla14[[#This Row],[Biomasa de Camaron bajo reportado]]*2.2</f>
        <v>0</v>
      </c>
      <c r="AF24" s="28">
        <f>+(Tabla14[[#This Row],[Sobrevivencia total  en finca]]/100)*Tabla14[[#This Row],[Animales vivos reportados]]*Tabla14[[#This Row],[Peso Actual]]/1000</f>
        <v>0</v>
      </c>
      <c r="AG24" s="28" t="e">
        <f>+Tabla14[[#This Row],[Biomasa de camaron alimentacion actual]]/Tabla14[[#This Row],[Ha]]*2.2</f>
        <v>#DIV/0!</v>
      </c>
      <c r="AH24" s="28" t="e">
        <f>(Tabla14[[#This Row],[Kg Alimento diario ]]/Tabla14[[#This Row],[BW Sugerida]])</f>
        <v>#DIV/0!</v>
      </c>
      <c r="AI24" s="85" t="e">
        <f>(Tabla14[[#This Row],[Kg Minimo]]/Tabla14[[#This Row],[BW(min)]])</f>
        <v>#VALUE!</v>
      </c>
      <c r="AJ24" s="28">
        <f>Tabla14[[#This Row],[Densidad/ha]]*Tabla14[[#This Row],[Ha]]</f>
        <v>0</v>
      </c>
      <c r="AK24" s="29"/>
      <c r="AL24" s="28">
        <f>Tabla14[[#This Row],[Animales Sembrados]]*Tabla14[[#This Row],[Sobrevivencia total  en finca]]/100</f>
        <v>0</v>
      </c>
      <c r="AM24" s="41">
        <f>Tabla14[[#This Row],[Animales vivos reportados]]*Tabla14[[#This Row],[Peso Actual]]/454/Tabla14[[#This Row],[Ha]]</f>
        <v>0</v>
      </c>
      <c r="AN24" s="28" t="str">
        <f xml:space="preserve"> IFERROR(
(Tabla14[[#This Row],[Biomasa de camaron  ]]*1000/Tabla14[[#This Row],[Peso Actual]]),"")</f>
        <v/>
      </c>
      <c r="AO24" s="28" t="str">
        <f>IFERROR(((Tabla14[[#This Row],[Biomasa de camaron alimentacion actual]]*1000)/Tabla14[[#This Row],[Peso Actual]]),"")</f>
        <v/>
      </c>
      <c r="AP24" s="87" t="str">
        <f>IFERROR( (
(Tabla14[[#This Row],[Biomasa de camaron alimentacion 2]]*1000)/Tabla14[[#This Row],[Peso Actual]]),"")</f>
        <v/>
      </c>
      <c r="AQ24" s="85">
        <v>14</v>
      </c>
      <c r="AR24" s="105">
        <f>IFERROR(Tabla14[[#This Row],[Animales vivos reportados]]/Tabla14[[#This Row],['#AA]],"")</f>
        <v>0</v>
      </c>
      <c r="AS24" s="93">
        <f>IFERROR(((Tabla14[[#This Row],[Lbs/ha      sin Raleo]]*Tabla14[[#This Row],[Ha]])/Tabla14[[#This Row],['#AA]])/2.2046,"")</f>
        <v>0</v>
      </c>
      <c r="AT24" s="93">
        <v>10</v>
      </c>
      <c r="AU24" s="93">
        <v>16</v>
      </c>
      <c r="AV24" s="106">
        <v>0.65</v>
      </c>
      <c r="AW24" s="93">
        <f>Tabla14[[#This Row],[Hp/AR]]*Tabla14[[#This Row],[%Efi AR]]</f>
        <v>10.4</v>
      </c>
      <c r="AX24" s="93">
        <f>Tabla14[[#This Row],[Hp/Efi]]*Tabla14[[#This Row],['#AR]]</f>
        <v>104</v>
      </c>
      <c r="AY24" s="107">
        <f>Tabla14[[#This Row],[Total hp/AR]]/Tabla14[[#This Row],[Ha]]</f>
        <v>29.453412630982722</v>
      </c>
      <c r="AZ24" s="60" t="str">
        <f>IF(Tabla14[[#This Row],[Peso Actual]]&gt;X17,Tabla14[[#This Row],[Peso Actual]]-X23,"")</f>
        <v/>
      </c>
      <c r="BA24" s="39"/>
      <c r="BB24" s="16">
        <v>100</v>
      </c>
      <c r="BC24" s="35">
        <f>IFERROR(Tabla14[[#This Row],[Animales vivos reportados]]/Tabla14[[#This Row],[Ha]]/10000,"")</f>
        <v>0</v>
      </c>
      <c r="BD24" s="91" t="str">
        <f>IFERROR((Tabla14[[#This Row],[CXMT ACTUAL]]*10000*Tabla14[[#This Row],[Ha]])/Tabla14[[#This Row],[Animales Sembrados]],"")</f>
        <v/>
      </c>
      <c r="BE24" s="70" t="str">
        <f>IFERROR( Tabla14[[#This Row],[Animales según alimentación actual]]/(Tabla14[[#This Row],[Densidad/ha]]*Tabla14[[#This Row],[Ha]]),"")</f>
        <v/>
      </c>
      <c r="BF24" s="120"/>
    </row>
    <row r="25" spans="1:58" x14ac:dyDescent="0.35">
      <c r="A25" s="18">
        <v>712</v>
      </c>
      <c r="B25" s="110" t="s">
        <v>95</v>
      </c>
      <c r="C25" s="17">
        <v>3.5310000000000001</v>
      </c>
      <c r="D25" s="112">
        <v>46170</v>
      </c>
      <c r="E25" s="113">
        <f t="shared" si="5"/>
        <v>46227</v>
      </c>
      <c r="F25" s="12">
        <f>Tabla14[[#This Row],[Fecha]]-Tabla14[[#This Row],[Siembra]]</f>
        <v>57</v>
      </c>
      <c r="G25" s="114" t="str">
        <f>IFERROR((((Tabla14[[#This Row],[Kg Alimento diario ]]-Tabla14[[#This Row],[Kg Alimento Sugerido]])/(Tabla14[[#This Row],[Kg Alimento Sugerido]])*100)),"")</f>
        <v/>
      </c>
      <c r="H25" s="38"/>
      <c r="I25" s="68">
        <f ca="1">IFERROR(
   IF(OFFSET(Tabla14[[#This Row],[Psc]],-1,0)=Tabla14[[#This Row],[Psc]],
      OFFSET(Tabla14[[#This Row],[Bal Acumulado]],-1,0)+Tabla14[[#This Row],[Kg/ semanal]],
      Tabla14[[#This Row],[Kg/ semanal]]
   ),
   Tabla14[[#This Row],[Kg/ semanal]]
)</f>
        <v>5475</v>
      </c>
      <c r="J25" s="38" t="str">
        <f ca="1">IFERROR(((Tabla14[[#This Row],[Bal Acumulado]]*2.2046/Tabla14[[#This Row],[Ha]])/L25),"")</f>
        <v/>
      </c>
      <c r="K25" s="68">
        <f>Tabla14[[#This Row],[Animales vivos reportados]]*Tabla14[[#This Row],[Peso Actual]]/454/Tabla14[[#This Row],[Ha]]</f>
        <v>0</v>
      </c>
      <c r="L25" s="68">
        <f>Tabla14[[#This Row],[Animales vivos reportados]]*Tabla14[[#This Row],[Peso Actual]]/454/Tabla14[[#This Row],[Ha]]+O23</f>
        <v>0</v>
      </c>
      <c r="M25" s="68"/>
      <c r="N25" s="68"/>
      <c r="O25" s="68">
        <f>Tabla14[[#This Row],[Raleo/total]]/Tabla14[[#This Row],[Ha]]</f>
        <v>0</v>
      </c>
      <c r="P25" s="115" t="str">
        <f>IFERROR(Tabla14[[#This Row],[Kg Alimento diario ]]/Tabla14[[#This Row],[Ha]],"")</f>
        <v/>
      </c>
      <c r="Q25" s="116" t="str">
        <f>IFERROR((Tabla14[[#This Row],[Kg Alimento diario ]])/(Tabla14[[#This Row],[Animales vivos reportados]]/100000),"")</f>
        <v/>
      </c>
      <c r="R25" s="104"/>
      <c r="S25" s="89" t="e">
        <f>Tabla14[[#This Row],[Kg/ semanal]]/Tabla14[[#This Row],[Dias alimentados]]</f>
        <v>#DIV/0!</v>
      </c>
      <c r="T25" s="117">
        <f>Tabla14[[#This Row],[Kg Alimento Sugerido]]/Tabla14[[#This Row],[Ha]]</f>
        <v>0</v>
      </c>
      <c r="U25" s="29"/>
      <c r="V25" s="69"/>
      <c r="W25" s="69">
        <f>Tabla14[[#This Row],[Kg Minimo]]/Tabla14[[#This Row],[Ha]]</f>
        <v>0</v>
      </c>
      <c r="X25" s="118"/>
      <c r="Y25" s="14" t="str">
        <f>IFERROR(Tabla14[[#This Row],[Kg Alimento diario ]]/(Tabla14[[#This Row],[Peso Actual]]/1000*Tabla14[[#This Row],[Animales vivos reportados]]),"")</f>
        <v/>
      </c>
      <c r="Z25" s="6" t="str">
        <f>IFERROR(IF($Z$1="NormalCalor",
     VLOOKUP(Tabla14[[#This Row],[Peso Actual]], Tabla!$A$4:$C$76, 2, TRUE)/100,
     VLOOKUP(Tabla14[[#This Row],[Peso Actual]], Tabla!$A$4:$C$76, 3, TRUE)/100),
"")</f>
        <v/>
      </c>
      <c r="AA25" s="40" t="str">
        <f>IFERROR(IF($AA$1="MinFrio",VLOOKUP(Tabla14[[#This Row],[Peso Actual]],Tabla!$F$3:$H$482,3,1),VLOOKUP(Tabla14[[#This Row],[Peso Actual]],Tabla!$F$3:$H$482,2,1)),"")</f>
        <v/>
      </c>
      <c r="AB25" s="28" t="e">
        <f>+Tabla14[[#This Row],[Biomasa de camaron  ]]/Tabla14[[#This Row],[Ha]]*2.2</f>
        <v>#VALUE!</v>
      </c>
      <c r="AC25" s="28" t="e">
        <f t="shared" si="3"/>
        <v>#VALUE!</v>
      </c>
      <c r="AD25" s="41" t="e">
        <f t="shared" si="4"/>
        <v>#VALUE!</v>
      </c>
      <c r="AE25" s="28">
        <f>+Tabla14[[#This Row],[Biomasa de Camaron bajo reportado]]*2.2</f>
        <v>0</v>
      </c>
      <c r="AF25" s="28">
        <f>+(Tabla14[[#This Row],[Sobrevivencia total  en finca]]/100)*Tabla14[[#This Row],[Animales vivos reportados]]*Tabla14[[#This Row],[Peso Actual]]/1000</f>
        <v>0</v>
      </c>
      <c r="AG25" s="28" t="e">
        <f>+Tabla14[[#This Row],[Biomasa de camaron alimentacion actual]]/Tabla14[[#This Row],[Ha]]*2.2</f>
        <v>#DIV/0!</v>
      </c>
      <c r="AH25" s="28" t="e">
        <f>(Tabla14[[#This Row],[Kg Alimento diario ]]/Tabla14[[#This Row],[BW Sugerida]])</f>
        <v>#DIV/0!</v>
      </c>
      <c r="AI25" s="85" t="e">
        <f>(Tabla14[[#This Row],[Kg Minimo]]/Tabla14[[#This Row],[BW(min)]])</f>
        <v>#VALUE!</v>
      </c>
      <c r="AJ25" s="28">
        <f>Tabla14[[#This Row],[Densidad/ha]]*Tabla14[[#This Row],[Ha]]</f>
        <v>0</v>
      </c>
      <c r="AK25" s="29"/>
      <c r="AL25" s="28">
        <f>Tabla14[[#This Row],[Animales Sembrados]]*Tabla14[[#This Row],[Sobrevivencia total  en finca]]/100</f>
        <v>0</v>
      </c>
      <c r="AM25" s="41">
        <f>Tabla14[[#This Row],[Animales vivos reportados]]*Tabla14[[#This Row],[Peso Actual]]/454/Tabla14[[#This Row],[Ha]]</f>
        <v>0</v>
      </c>
      <c r="AN25" s="28" t="str">
        <f xml:space="preserve"> IFERROR(
(Tabla14[[#This Row],[Biomasa de camaron  ]]*1000/Tabla14[[#This Row],[Peso Actual]]),"")</f>
        <v/>
      </c>
      <c r="AO25" s="28" t="str">
        <f>IFERROR(((Tabla14[[#This Row],[Biomasa de camaron alimentacion actual]]*1000)/Tabla14[[#This Row],[Peso Actual]]),"")</f>
        <v/>
      </c>
      <c r="AP25" s="87" t="str">
        <f>IFERROR( (
(Tabla14[[#This Row],[Biomasa de camaron alimentacion 2]]*1000)/Tabla14[[#This Row],[Peso Actual]]),"")</f>
        <v/>
      </c>
      <c r="AQ25" s="85">
        <v>14</v>
      </c>
      <c r="AR25" s="105">
        <f>IFERROR(Tabla14[[#This Row],[Animales vivos reportados]]/Tabla14[[#This Row],['#AA]],"")</f>
        <v>0</v>
      </c>
      <c r="AS25" s="93">
        <f>IFERROR(((Tabla14[[#This Row],[Lbs/ha      sin Raleo]]*Tabla14[[#This Row],[Ha]])/Tabla14[[#This Row],['#AA]])/2.2046,"")</f>
        <v>0</v>
      </c>
      <c r="AT25" s="93">
        <v>10</v>
      </c>
      <c r="AU25" s="93">
        <v>16</v>
      </c>
      <c r="AV25" s="106">
        <v>0.65</v>
      </c>
      <c r="AW25" s="93">
        <f>Tabla14[[#This Row],[Hp/AR]]*Tabla14[[#This Row],[%Efi AR]]</f>
        <v>10.4</v>
      </c>
      <c r="AX25" s="93">
        <f>Tabla14[[#This Row],[Hp/Efi]]*Tabla14[[#This Row],['#AR]]</f>
        <v>104</v>
      </c>
      <c r="AY25" s="107">
        <f>Tabla14[[#This Row],[Total hp/AR]]/Tabla14[[#This Row],[Ha]]</f>
        <v>29.453412630982722</v>
      </c>
      <c r="AZ25" s="60" t="str">
        <f>IF(Tabla14[[#This Row],[Peso Actual]]&gt;X18,Tabla14[[#This Row],[Peso Actual]]-X24,"")</f>
        <v/>
      </c>
      <c r="BA25" s="39"/>
      <c r="BB25" s="16">
        <v>100</v>
      </c>
      <c r="BC25" s="35">
        <f>IFERROR(Tabla14[[#This Row],[Animales vivos reportados]]/Tabla14[[#This Row],[Ha]]/10000,"")</f>
        <v>0</v>
      </c>
      <c r="BD25" s="91" t="str">
        <f>IFERROR((Tabla14[[#This Row],[CXMT ACTUAL]]*10000*Tabla14[[#This Row],[Ha]])/Tabla14[[#This Row],[Animales Sembrados]],"")</f>
        <v/>
      </c>
      <c r="BE25" s="70" t="str">
        <f>IFERROR( Tabla14[[#This Row],[Animales según alimentación actual]]/(Tabla14[[#This Row],[Densidad/ha]]*Tabla14[[#This Row],[Ha]]),"")</f>
        <v/>
      </c>
      <c r="BF25" s="120"/>
    </row>
    <row r="26" spans="1:58" x14ac:dyDescent="0.35">
      <c r="A26" s="18">
        <v>712</v>
      </c>
      <c r="B26" s="110" t="s">
        <v>95</v>
      </c>
      <c r="C26" s="17">
        <v>3.5310000000000001</v>
      </c>
      <c r="D26" s="112">
        <v>46170</v>
      </c>
      <c r="E26" s="113">
        <f t="shared" si="5"/>
        <v>46234</v>
      </c>
      <c r="F26" s="12">
        <f>Tabla14[[#This Row],[Fecha]]-Tabla14[[#This Row],[Siembra]]</f>
        <v>64</v>
      </c>
      <c r="G26" s="114" t="str">
        <f>IFERROR((((Tabla14[[#This Row],[Kg Alimento diario ]]-Tabla14[[#This Row],[Kg Alimento Sugerido]])/(Tabla14[[#This Row],[Kg Alimento Sugerido]])*100)),"")</f>
        <v/>
      </c>
      <c r="H26" s="38"/>
      <c r="I26" s="68">
        <f ca="1">IFERROR(
   IF(OFFSET(Tabla14[[#This Row],[Psc]],-1,0)=Tabla14[[#This Row],[Psc]],
      OFFSET(Tabla14[[#This Row],[Bal Acumulado]],-1,0)+Tabla14[[#This Row],[Kg/ semanal]],
      Tabla14[[#This Row],[Kg/ semanal]]
   ),
   Tabla14[[#This Row],[Kg/ semanal]]
)</f>
        <v>5475</v>
      </c>
      <c r="J26" s="38" t="str">
        <f ca="1">IFERROR(((Tabla14[[#This Row],[Bal Acumulado]]*2.2046/Tabla14[[#This Row],[Ha]])/L26),"")</f>
        <v/>
      </c>
      <c r="K26" s="68">
        <f>Tabla14[[#This Row],[Animales vivos reportados]]*Tabla14[[#This Row],[Peso Actual]]/454/Tabla14[[#This Row],[Ha]]</f>
        <v>0</v>
      </c>
      <c r="L26" s="68">
        <f>Tabla14[[#This Row],[Animales vivos reportados]]*Tabla14[[#This Row],[Peso Actual]]/454/Tabla14[[#This Row],[Ha]]+O24</f>
        <v>0</v>
      </c>
      <c r="M26" s="68"/>
      <c r="N26" s="68"/>
      <c r="O26" s="68">
        <f>Tabla14[[#This Row],[Raleo/total]]/Tabla14[[#This Row],[Ha]]</f>
        <v>0</v>
      </c>
      <c r="P26" s="115" t="str">
        <f>IFERROR(Tabla14[[#This Row],[Kg Alimento diario ]]/Tabla14[[#This Row],[Ha]],"")</f>
        <v/>
      </c>
      <c r="Q26" s="116" t="str">
        <f>IFERROR((Tabla14[[#This Row],[Kg Alimento diario ]])/(Tabla14[[#This Row],[Animales vivos reportados]]/100000),"")</f>
        <v/>
      </c>
      <c r="R26" s="104"/>
      <c r="S26" s="89" t="e">
        <f>Tabla14[[#This Row],[Kg/ semanal]]/Tabla14[[#This Row],[Dias alimentados]]</f>
        <v>#DIV/0!</v>
      </c>
      <c r="T26" s="117">
        <f>Tabla14[[#This Row],[Kg Alimento Sugerido]]/Tabla14[[#This Row],[Ha]]</f>
        <v>0</v>
      </c>
      <c r="U26" s="29"/>
      <c r="V26" s="69"/>
      <c r="W26" s="69">
        <f>Tabla14[[#This Row],[Kg Minimo]]/Tabla14[[#This Row],[Ha]]</f>
        <v>0</v>
      </c>
      <c r="X26" s="118"/>
      <c r="Y26" s="14" t="str">
        <f>IFERROR(Tabla14[[#This Row],[Kg Alimento diario ]]/(Tabla14[[#This Row],[Peso Actual]]/1000*Tabla14[[#This Row],[Animales vivos reportados]]),"")</f>
        <v/>
      </c>
      <c r="Z26" s="6" t="str">
        <f>IFERROR(IF($Z$1="NormalCalor",
     VLOOKUP(Tabla14[[#This Row],[Peso Actual]], Tabla!$A$4:$C$76, 2, TRUE)/100,
     VLOOKUP(Tabla14[[#This Row],[Peso Actual]], Tabla!$A$4:$C$76, 3, TRUE)/100),
"")</f>
        <v/>
      </c>
      <c r="AA26" s="40" t="str">
        <f>IFERROR(IF($AA$1="MinFrio",VLOOKUP(Tabla14[[#This Row],[Peso Actual]],Tabla!$F$3:$H$482,3,1),VLOOKUP(Tabla14[[#This Row],[Peso Actual]],Tabla!$F$3:$H$482,2,1)),"")</f>
        <v/>
      </c>
      <c r="AB26" s="28" t="e">
        <f>+Tabla14[[#This Row],[Biomasa de camaron  ]]/Tabla14[[#This Row],[Ha]]*2.2</f>
        <v>#VALUE!</v>
      </c>
      <c r="AC26" s="28" t="e">
        <f t="shared" si="3"/>
        <v>#VALUE!</v>
      </c>
      <c r="AD26" s="41" t="e">
        <f t="shared" si="4"/>
        <v>#VALUE!</v>
      </c>
      <c r="AE26" s="28">
        <f>+Tabla14[[#This Row],[Biomasa de Camaron bajo reportado]]*2.2</f>
        <v>0</v>
      </c>
      <c r="AF26" s="28">
        <f>+(Tabla14[[#This Row],[Sobrevivencia total  en finca]]/100)*Tabla14[[#This Row],[Animales vivos reportados]]*Tabla14[[#This Row],[Peso Actual]]/1000</f>
        <v>0</v>
      </c>
      <c r="AG26" s="28" t="e">
        <f>+Tabla14[[#This Row],[Biomasa de camaron alimentacion actual]]/Tabla14[[#This Row],[Ha]]*2.2</f>
        <v>#DIV/0!</v>
      </c>
      <c r="AH26" s="28" t="e">
        <f>(Tabla14[[#This Row],[Kg Alimento diario ]]/Tabla14[[#This Row],[BW Sugerida]])</f>
        <v>#DIV/0!</v>
      </c>
      <c r="AI26" s="85" t="e">
        <f>(Tabla14[[#This Row],[Kg Minimo]]/Tabla14[[#This Row],[BW(min)]])</f>
        <v>#VALUE!</v>
      </c>
      <c r="AJ26" s="28">
        <f>Tabla14[[#This Row],[Densidad/ha]]*Tabla14[[#This Row],[Ha]]</f>
        <v>0</v>
      </c>
      <c r="AK26" s="29"/>
      <c r="AL26" s="28">
        <f>Tabla14[[#This Row],[Animales Sembrados]]*Tabla14[[#This Row],[Sobrevivencia total  en finca]]/100</f>
        <v>0</v>
      </c>
      <c r="AM26" s="41">
        <f>Tabla14[[#This Row],[Animales vivos reportados]]*Tabla14[[#This Row],[Peso Actual]]/454/Tabla14[[#This Row],[Ha]]</f>
        <v>0</v>
      </c>
      <c r="AN26" s="28" t="str">
        <f xml:space="preserve"> IFERROR(
(Tabla14[[#This Row],[Biomasa de camaron  ]]*1000/Tabla14[[#This Row],[Peso Actual]]),"")</f>
        <v/>
      </c>
      <c r="AO26" s="28" t="str">
        <f>IFERROR(((Tabla14[[#This Row],[Biomasa de camaron alimentacion actual]]*1000)/Tabla14[[#This Row],[Peso Actual]]),"")</f>
        <v/>
      </c>
      <c r="AP26" s="87" t="str">
        <f>IFERROR( (
(Tabla14[[#This Row],[Biomasa de camaron alimentacion 2]]*1000)/Tabla14[[#This Row],[Peso Actual]]),"")</f>
        <v/>
      </c>
      <c r="AQ26" s="85">
        <v>14</v>
      </c>
      <c r="AR26" s="105">
        <f>IFERROR(Tabla14[[#This Row],[Animales vivos reportados]]/Tabla14[[#This Row],['#AA]],"")</f>
        <v>0</v>
      </c>
      <c r="AS26" s="93">
        <f>IFERROR(((Tabla14[[#This Row],[Lbs/ha      sin Raleo]]*Tabla14[[#This Row],[Ha]])/Tabla14[[#This Row],['#AA]])/2.2046,"")</f>
        <v>0</v>
      </c>
      <c r="AT26" s="93">
        <v>10</v>
      </c>
      <c r="AU26" s="93">
        <v>16</v>
      </c>
      <c r="AV26" s="106">
        <v>0.65</v>
      </c>
      <c r="AW26" s="93">
        <f>Tabla14[[#This Row],[Hp/AR]]*Tabla14[[#This Row],[%Efi AR]]</f>
        <v>10.4</v>
      </c>
      <c r="AX26" s="93">
        <f>Tabla14[[#This Row],[Hp/Efi]]*Tabla14[[#This Row],['#AR]]</f>
        <v>104</v>
      </c>
      <c r="AY26" s="107">
        <f>Tabla14[[#This Row],[Total hp/AR]]/Tabla14[[#This Row],[Ha]]</f>
        <v>29.453412630982722</v>
      </c>
      <c r="AZ26" s="60" t="str">
        <f>IF(Tabla14[[#This Row],[Peso Actual]]&gt;X19,Tabla14[[#This Row],[Peso Actual]]-X25,"")</f>
        <v/>
      </c>
      <c r="BA26" s="39"/>
      <c r="BB26" s="16">
        <v>100</v>
      </c>
      <c r="BC26" s="35">
        <f>IFERROR(Tabla14[[#This Row],[Animales vivos reportados]]/Tabla14[[#This Row],[Ha]]/10000,"")</f>
        <v>0</v>
      </c>
      <c r="BD26" s="91" t="str">
        <f>IFERROR((Tabla14[[#This Row],[CXMT ACTUAL]]*10000*Tabla14[[#This Row],[Ha]])/Tabla14[[#This Row],[Animales Sembrados]],"")</f>
        <v/>
      </c>
      <c r="BE26" s="70" t="str">
        <f>IFERROR( Tabla14[[#This Row],[Animales según alimentación actual]]/(Tabla14[[#This Row],[Densidad/ha]]*Tabla14[[#This Row],[Ha]]),"")</f>
        <v/>
      </c>
      <c r="BF26" s="120"/>
    </row>
    <row r="27" spans="1:58" x14ac:dyDescent="0.35">
      <c r="A27" s="18">
        <v>712</v>
      </c>
      <c r="B27" s="110" t="s">
        <v>95</v>
      </c>
      <c r="C27" s="17">
        <v>3.5310000000000001</v>
      </c>
      <c r="D27" s="112">
        <v>46170</v>
      </c>
      <c r="E27" s="113">
        <f t="shared" si="5"/>
        <v>46241</v>
      </c>
      <c r="F27" s="12">
        <f>Tabla14[[#This Row],[Fecha]]-Tabla14[[#This Row],[Siembra]]</f>
        <v>71</v>
      </c>
      <c r="G27" s="114" t="str">
        <f>IFERROR((((Tabla14[[#This Row],[Kg Alimento diario ]]-Tabla14[[#This Row],[Kg Alimento Sugerido]])/(Tabla14[[#This Row],[Kg Alimento Sugerido]])*100)),"")</f>
        <v/>
      </c>
      <c r="H27" s="38"/>
      <c r="I27" s="68">
        <f ca="1">IFERROR(
   IF(OFFSET(Tabla14[[#This Row],[Psc]],-1,0)=Tabla14[[#This Row],[Psc]],
      OFFSET(Tabla14[[#This Row],[Bal Acumulado]],-1,0)+Tabla14[[#This Row],[Kg/ semanal]],
      Tabla14[[#This Row],[Kg/ semanal]]
   ),
   Tabla14[[#This Row],[Kg/ semanal]]
)</f>
        <v>5475</v>
      </c>
      <c r="J27" s="38" t="str">
        <f ca="1">IFERROR(((Tabla14[[#This Row],[Bal Acumulado]]*2.2046/Tabla14[[#This Row],[Ha]])/L27),"")</f>
        <v/>
      </c>
      <c r="K27" s="68">
        <f>Tabla14[[#This Row],[Animales vivos reportados]]*Tabla14[[#This Row],[Peso Actual]]/454/Tabla14[[#This Row],[Ha]]</f>
        <v>0</v>
      </c>
      <c r="L27" s="68">
        <f>Tabla14[[#This Row],[Animales vivos reportados]]*Tabla14[[#This Row],[Peso Actual]]/454/Tabla14[[#This Row],[Ha]]+O25</f>
        <v>0</v>
      </c>
      <c r="M27" s="68"/>
      <c r="N27" s="68"/>
      <c r="O27" s="68">
        <f>Tabla14[[#This Row],[Raleo/total]]/Tabla14[[#This Row],[Ha]]</f>
        <v>0</v>
      </c>
      <c r="P27" s="115" t="str">
        <f>IFERROR(Tabla14[[#This Row],[Kg Alimento diario ]]/Tabla14[[#This Row],[Ha]],"")</f>
        <v/>
      </c>
      <c r="Q27" s="116" t="str">
        <f>IFERROR((Tabla14[[#This Row],[Kg Alimento diario ]])/(Tabla14[[#This Row],[Animales vivos reportados]]/100000),"")</f>
        <v/>
      </c>
      <c r="R27" s="104"/>
      <c r="S27" s="89" t="e">
        <f>Tabla14[[#This Row],[Kg/ semanal]]/Tabla14[[#This Row],[Dias alimentados]]</f>
        <v>#DIV/0!</v>
      </c>
      <c r="T27" s="117">
        <f>Tabla14[[#This Row],[Kg Alimento Sugerido]]/Tabla14[[#This Row],[Ha]]</f>
        <v>0</v>
      </c>
      <c r="U27" s="29"/>
      <c r="V27" s="69"/>
      <c r="W27" s="69">
        <f>Tabla14[[#This Row],[Kg Minimo]]/Tabla14[[#This Row],[Ha]]</f>
        <v>0</v>
      </c>
      <c r="X27" s="118"/>
      <c r="Y27" s="14" t="str">
        <f>IFERROR(Tabla14[[#This Row],[Kg Alimento diario ]]/(Tabla14[[#This Row],[Peso Actual]]/1000*Tabla14[[#This Row],[Animales vivos reportados]]),"")</f>
        <v/>
      </c>
      <c r="Z27" s="6" t="str">
        <f>IFERROR(IF($Z$1="NormalCalor",
     VLOOKUP(Tabla14[[#This Row],[Peso Actual]], Tabla!$A$4:$C$76, 2, TRUE)/100,
     VLOOKUP(Tabla14[[#This Row],[Peso Actual]], Tabla!$A$4:$C$76, 3, TRUE)/100),
"")</f>
        <v/>
      </c>
      <c r="AA27" s="40" t="str">
        <f>IFERROR(IF($AA$1="MinFrio",VLOOKUP(Tabla14[[#This Row],[Peso Actual]],Tabla!$F$3:$H$482,3,1),VLOOKUP(Tabla14[[#This Row],[Peso Actual]],Tabla!$F$3:$H$482,2,1)),"")</f>
        <v/>
      </c>
      <c r="AB27" s="28" t="e">
        <f>+Tabla14[[#This Row],[Biomasa de camaron  ]]/Tabla14[[#This Row],[Ha]]*2.2</f>
        <v>#VALUE!</v>
      </c>
      <c r="AC27" s="28" t="e">
        <f t="shared" si="3"/>
        <v>#VALUE!</v>
      </c>
      <c r="AD27" s="41" t="e">
        <f t="shared" si="4"/>
        <v>#VALUE!</v>
      </c>
      <c r="AE27" s="28">
        <f>+Tabla14[[#This Row],[Biomasa de Camaron bajo reportado]]*2.2</f>
        <v>0</v>
      </c>
      <c r="AF27" s="28">
        <f>+(Tabla14[[#This Row],[Sobrevivencia total  en finca]]/100)*Tabla14[[#This Row],[Animales vivos reportados]]*Tabla14[[#This Row],[Peso Actual]]/1000</f>
        <v>0</v>
      </c>
      <c r="AG27" s="28" t="e">
        <f>+Tabla14[[#This Row],[Biomasa de camaron alimentacion actual]]/Tabla14[[#This Row],[Ha]]*2.2</f>
        <v>#DIV/0!</v>
      </c>
      <c r="AH27" s="28" t="e">
        <f>(Tabla14[[#This Row],[Kg Alimento diario ]]/Tabla14[[#This Row],[BW Sugerida]])</f>
        <v>#DIV/0!</v>
      </c>
      <c r="AI27" s="85" t="e">
        <f>(Tabla14[[#This Row],[Kg Minimo]]/Tabla14[[#This Row],[BW(min)]])</f>
        <v>#VALUE!</v>
      </c>
      <c r="AJ27" s="28">
        <f>Tabla14[[#This Row],[Densidad/ha]]*Tabla14[[#This Row],[Ha]]</f>
        <v>0</v>
      </c>
      <c r="AK27" s="29"/>
      <c r="AL27" s="28">
        <f>Tabla14[[#This Row],[Animales Sembrados]]*Tabla14[[#This Row],[Sobrevivencia total  en finca]]/100</f>
        <v>0</v>
      </c>
      <c r="AM27" s="41">
        <f>Tabla14[[#This Row],[Animales vivos reportados]]*Tabla14[[#This Row],[Peso Actual]]/454/Tabla14[[#This Row],[Ha]]</f>
        <v>0</v>
      </c>
      <c r="AN27" s="28" t="str">
        <f xml:space="preserve"> IFERROR(
(Tabla14[[#This Row],[Biomasa de camaron  ]]*1000/Tabla14[[#This Row],[Peso Actual]]),"")</f>
        <v/>
      </c>
      <c r="AO27" s="28" t="str">
        <f>IFERROR(((Tabla14[[#This Row],[Biomasa de camaron alimentacion actual]]*1000)/Tabla14[[#This Row],[Peso Actual]]),"")</f>
        <v/>
      </c>
      <c r="AP27" s="87" t="str">
        <f>IFERROR( (
(Tabla14[[#This Row],[Biomasa de camaron alimentacion 2]]*1000)/Tabla14[[#This Row],[Peso Actual]]),"")</f>
        <v/>
      </c>
      <c r="AQ27" s="85">
        <v>14</v>
      </c>
      <c r="AR27" s="105">
        <f>IFERROR(Tabla14[[#This Row],[Animales vivos reportados]]/Tabla14[[#This Row],['#AA]],"")</f>
        <v>0</v>
      </c>
      <c r="AS27" s="93">
        <f>IFERROR(((Tabla14[[#This Row],[Lbs/ha      sin Raleo]]*Tabla14[[#This Row],[Ha]])/Tabla14[[#This Row],['#AA]])/2.2046,"")</f>
        <v>0</v>
      </c>
      <c r="AT27" s="93">
        <v>10</v>
      </c>
      <c r="AU27" s="93">
        <v>16</v>
      </c>
      <c r="AV27" s="106">
        <v>0.65</v>
      </c>
      <c r="AW27" s="93">
        <f>Tabla14[[#This Row],[Hp/AR]]*Tabla14[[#This Row],[%Efi AR]]</f>
        <v>10.4</v>
      </c>
      <c r="AX27" s="93">
        <f>Tabla14[[#This Row],[Hp/Efi]]*Tabla14[[#This Row],['#AR]]</f>
        <v>104</v>
      </c>
      <c r="AY27" s="107">
        <f>Tabla14[[#This Row],[Total hp/AR]]/Tabla14[[#This Row],[Ha]]</f>
        <v>29.453412630982722</v>
      </c>
      <c r="AZ27" s="60" t="str">
        <f>IF(Tabla14[[#This Row],[Peso Actual]]&gt;X20,Tabla14[[#This Row],[Peso Actual]]-X26,"")</f>
        <v/>
      </c>
      <c r="BA27" s="39"/>
      <c r="BB27" s="16">
        <v>100</v>
      </c>
      <c r="BC27" s="35">
        <f>IFERROR(Tabla14[[#This Row],[Animales vivos reportados]]/Tabla14[[#This Row],[Ha]]/10000,"")</f>
        <v>0</v>
      </c>
      <c r="BD27" s="91" t="str">
        <f>IFERROR((Tabla14[[#This Row],[CXMT ACTUAL]]*10000*Tabla14[[#This Row],[Ha]])/Tabla14[[#This Row],[Animales Sembrados]],"")</f>
        <v/>
      </c>
      <c r="BE27" s="70" t="str">
        <f>IFERROR( Tabla14[[#This Row],[Animales según alimentación actual]]/(Tabla14[[#This Row],[Densidad/ha]]*Tabla14[[#This Row],[Ha]]),"")</f>
        <v/>
      </c>
      <c r="BF27" s="120"/>
    </row>
  </sheetData>
  <phoneticPr fontId="15" type="noConversion"/>
  <conditionalFormatting sqref="AO3:AO1048576">
    <cfRule type="expression" dxfId="6" priority="14">
      <formula>AO3&gt;=AL3</formula>
    </cfRule>
    <cfRule type="expression" dxfId="5" priority="15">
      <formula>AO3&lt;AL3</formula>
    </cfRule>
  </conditionalFormatting>
  <conditionalFormatting sqref="AP3:AP1048576">
    <cfRule type="expression" dxfId="4" priority="4">
      <formula>AP3&lt;AL3</formula>
    </cfRule>
    <cfRule type="expression" dxfId="3" priority="5">
      <formula>AP3&gt;=AL3</formula>
    </cfRule>
  </conditionalFormatting>
  <conditionalFormatting sqref="AR3:AR1048576">
    <cfRule type="cellIs" dxfId="2" priority="6" operator="greaterThan">
      <formula>$AR$1</formula>
    </cfRule>
  </conditionalFormatting>
  <conditionalFormatting sqref="AS3:AS27 AS28:AY1048576">
    <cfRule type="cellIs" dxfId="1" priority="7" operator="greaterThan">
      <formula>$AS$1</formula>
    </cfRule>
  </conditionalFormatting>
  <conditionalFormatting sqref="BB3:BD27">
    <cfRule type="cellIs" dxfId="0" priority="17" operator="lessThan">
      <formula>0.65</formula>
    </cfRule>
  </conditionalFormatting>
  <pageMargins left="0.7" right="0.7" top="0.75" bottom="0.75" header="0.3" footer="0.3"/>
  <pageSetup paperSize="9" orientation="portrait" horizontalDpi="360" verticalDpi="360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72C1C8CF-AEA2-4835-A086-CC538D583058}">
          <x14:formula1>
            <xm:f>Tabla!$L$3:$L$4</xm:f>
          </x14:formula1>
          <xm:sqref>Z1</xm:sqref>
        </x14:dataValidation>
        <x14:dataValidation type="list" allowBlank="1" showInputMessage="1" showErrorMessage="1" xr:uid="{CA9AC4F8-49E2-4858-9DEE-B437BD013368}">
          <x14:formula1>
            <xm:f>Tabla!$L$5:$L$6</xm:f>
          </x14:formula1>
          <xm:sqref>AA1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B1249-F89A-4706-A81E-35327817FA2F}">
  <dimension ref="A1:P6"/>
  <sheetViews>
    <sheetView topLeftCell="A52" zoomScale="70" zoomScaleNormal="70" workbookViewId="0">
      <selection activeCell="S51" sqref="S51"/>
    </sheetView>
  </sheetViews>
  <sheetFormatPr baseColWidth="10" defaultColWidth="11.453125" defaultRowHeight="14.5" x14ac:dyDescent="0.35"/>
  <cols>
    <col min="1" max="1" width="13.26953125" bestFit="1" customWidth="1"/>
    <col min="2" max="2" width="9.453125" bestFit="1" customWidth="1"/>
    <col min="3" max="3" width="4.453125" bestFit="1" customWidth="1"/>
    <col min="4" max="4" width="7.453125" bestFit="1" customWidth="1"/>
    <col min="5" max="5" width="11.26953125" bestFit="1" customWidth="1"/>
    <col min="6" max="6" width="6.7265625" bestFit="1" customWidth="1"/>
    <col min="7" max="7" width="5" bestFit="1" customWidth="1"/>
    <col min="8" max="8" width="9.26953125" bestFit="1" customWidth="1"/>
    <col min="9" max="9" width="9.54296875" bestFit="1" customWidth="1"/>
    <col min="10" max="10" width="9.26953125" bestFit="1" customWidth="1"/>
    <col min="11" max="11" width="7.7265625" bestFit="1" customWidth="1"/>
    <col min="12" max="12" width="9.26953125" bestFit="1" customWidth="1"/>
    <col min="13" max="13" width="8.7265625" bestFit="1" customWidth="1"/>
    <col min="14" max="14" width="13.26953125" bestFit="1" customWidth="1"/>
    <col min="15" max="15" width="10.7265625" bestFit="1" customWidth="1"/>
    <col min="16" max="16" width="10.453125" bestFit="1" customWidth="1"/>
    <col min="17" max="18" width="15.453125" bestFit="1" customWidth="1"/>
  </cols>
  <sheetData>
    <row r="1" spans="1:16" hidden="1" x14ac:dyDescent="0.35">
      <c r="B1" s="15" t="s">
        <v>53</v>
      </c>
    </row>
    <row r="2" spans="1:16" s="27" customFormat="1" ht="72.5" x14ac:dyDescent="0.35">
      <c r="A2" s="25" t="s">
        <v>2</v>
      </c>
      <c r="B2" s="26" t="s">
        <v>54</v>
      </c>
      <c r="C2" s="26" t="s">
        <v>55</v>
      </c>
      <c r="D2" s="26" t="s">
        <v>56</v>
      </c>
      <c r="E2" s="26" t="s">
        <v>57</v>
      </c>
      <c r="F2" s="26" t="s">
        <v>58</v>
      </c>
      <c r="G2" s="26" t="s">
        <v>59</v>
      </c>
      <c r="H2" s="26" t="s">
        <v>60</v>
      </c>
      <c r="I2" s="26" t="s">
        <v>61</v>
      </c>
      <c r="J2"/>
      <c r="K2"/>
      <c r="L2"/>
      <c r="M2"/>
      <c r="N2"/>
      <c r="O2"/>
      <c r="P2"/>
    </row>
    <row r="3" spans="1:16" x14ac:dyDescent="0.35">
      <c r="A3" s="20" t="s">
        <v>62</v>
      </c>
      <c r="B3" s="21">
        <v>46044</v>
      </c>
      <c r="C3" s="20">
        <v>1</v>
      </c>
      <c r="D3" s="22">
        <v>5.3</v>
      </c>
      <c r="E3" s="23">
        <v>180000</v>
      </c>
      <c r="F3" s="4">
        <v>32</v>
      </c>
      <c r="G3" s="24">
        <v>1.8499999999999996</v>
      </c>
      <c r="H3" s="23">
        <v>20099.135113200005</v>
      </c>
      <c r="I3" s="23">
        <v>4266.2473794549269</v>
      </c>
    </row>
    <row r="4" spans="1:16" x14ac:dyDescent="0.35">
      <c r="A4" s="20" t="s">
        <v>63</v>
      </c>
      <c r="B4" s="21">
        <v>46044</v>
      </c>
      <c r="C4" s="20">
        <v>1</v>
      </c>
      <c r="D4" s="22">
        <v>6.3</v>
      </c>
      <c r="E4" s="23">
        <v>200394</v>
      </c>
      <c r="F4" s="4">
        <v>23</v>
      </c>
      <c r="G4" s="24">
        <v>0.74000000000000021</v>
      </c>
      <c r="H4" s="23">
        <v>14600.833889796004</v>
      </c>
      <c r="I4" s="23">
        <v>2571.8575718575717</v>
      </c>
    </row>
    <row r="5" spans="1:16" x14ac:dyDescent="0.35">
      <c r="A5" s="20" t="s">
        <v>64</v>
      </c>
      <c r="B5" s="21">
        <v>46044</v>
      </c>
      <c r="C5" s="20">
        <v>1</v>
      </c>
      <c r="D5" s="22">
        <v>5.8</v>
      </c>
      <c r="E5" s="23">
        <v>200299</v>
      </c>
      <c r="F5" s="4">
        <v>5</v>
      </c>
      <c r="G5" s="24">
        <v>2.21</v>
      </c>
      <c r="H5" s="23">
        <v>8632.7771361480009</v>
      </c>
      <c r="I5" s="23">
        <v>1665.2649285113546</v>
      </c>
    </row>
    <row r="6" spans="1:16" x14ac:dyDescent="0.35">
      <c r="A6" s="20" t="s">
        <v>65</v>
      </c>
      <c r="B6" s="21">
        <v>46044</v>
      </c>
      <c r="C6" s="20">
        <v>3</v>
      </c>
      <c r="D6" s="22">
        <v>17.399999999999999</v>
      </c>
      <c r="E6" s="23">
        <v>580693</v>
      </c>
      <c r="F6" s="4">
        <v>20</v>
      </c>
      <c r="G6" s="24">
        <v>1.5999999999999999</v>
      </c>
      <c r="H6" s="23">
        <v>43332.746139144016</v>
      </c>
      <c r="I6" s="23">
        <v>2834.456626607951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4FD6-922E-436B-B2A2-64FE409BBE3C}">
  <dimension ref="A1:N422"/>
  <sheetViews>
    <sheetView workbookViewId="0">
      <selection sqref="A1:XFD1"/>
    </sheetView>
  </sheetViews>
  <sheetFormatPr baseColWidth="10" defaultColWidth="11.453125" defaultRowHeight="14.5" x14ac:dyDescent="0.35"/>
  <cols>
    <col min="1" max="1" width="4.7265625" style="74" bestFit="1" customWidth="1"/>
    <col min="2" max="2" width="10.26953125" style="74" bestFit="1" customWidth="1"/>
    <col min="3" max="3" width="11.453125" style="74" bestFit="1" customWidth="1"/>
    <col min="4" max="5" width="10.7265625" style="74"/>
    <col min="6" max="6" width="10.7265625" style="74" customWidth="1"/>
    <col min="7" max="7" width="15.26953125" style="74" bestFit="1" customWidth="1"/>
    <col min="8" max="8" width="15.7265625" style="74" bestFit="1" customWidth="1"/>
  </cols>
  <sheetData>
    <row r="1" spans="1:14" s="102" customFormat="1" x14ac:dyDescent="0.35">
      <c r="A1" s="99"/>
      <c r="B1" s="100" t="s">
        <v>66</v>
      </c>
      <c r="C1" s="101" t="s">
        <v>0</v>
      </c>
      <c r="D1" s="99"/>
      <c r="E1" s="99"/>
      <c r="F1" s="99"/>
      <c r="G1" s="100" t="s">
        <v>1</v>
      </c>
      <c r="H1" s="100" t="s">
        <v>67</v>
      </c>
    </row>
    <row r="2" spans="1:14" x14ac:dyDescent="0.35">
      <c r="A2" s="72" t="s">
        <v>68</v>
      </c>
      <c r="B2" s="73" t="s">
        <v>69</v>
      </c>
      <c r="C2" s="73" t="s">
        <v>69</v>
      </c>
      <c r="F2" s="80" t="s">
        <v>70</v>
      </c>
      <c r="G2" s="80" t="s">
        <v>71</v>
      </c>
      <c r="H2" s="80" t="s">
        <v>72</v>
      </c>
      <c r="J2" t="s">
        <v>73</v>
      </c>
      <c r="K2" t="s">
        <v>74</v>
      </c>
      <c r="L2" t="s">
        <v>75</v>
      </c>
      <c r="M2" t="s">
        <v>76</v>
      </c>
      <c r="N2" t="s">
        <v>77</v>
      </c>
    </row>
    <row r="3" spans="1:14" x14ac:dyDescent="0.35">
      <c r="A3" s="75"/>
      <c r="B3" s="75" t="s">
        <v>78</v>
      </c>
      <c r="C3" s="75" t="s">
        <v>79</v>
      </c>
      <c r="F3" s="76">
        <v>0.1</v>
      </c>
      <c r="G3" s="77">
        <v>0.10402437275936788</v>
      </c>
      <c r="H3" s="78">
        <v>9.2499999999999999E-2</v>
      </c>
      <c r="J3" t="s">
        <v>80</v>
      </c>
      <c r="K3" t="s">
        <v>79</v>
      </c>
      <c r="L3" t="str">
        <f>_xlfn.CONCAT(J3,K3)</f>
        <v>NormalCalor</v>
      </c>
      <c r="M3" t="s">
        <v>81</v>
      </c>
      <c r="N3" t="s">
        <v>82</v>
      </c>
    </row>
    <row r="4" spans="1:14" x14ac:dyDescent="0.35">
      <c r="A4" s="32">
        <v>0.5</v>
      </c>
      <c r="B4" s="32">
        <v>11</v>
      </c>
      <c r="C4" s="32">
        <v>11</v>
      </c>
      <c r="F4" s="76">
        <v>0.2</v>
      </c>
      <c r="G4" s="77">
        <v>0.10199169398758125</v>
      </c>
      <c r="H4" s="78">
        <v>9.1541448028243738E-2</v>
      </c>
      <c r="J4" t="s">
        <v>80</v>
      </c>
      <c r="K4" t="s">
        <v>78</v>
      </c>
      <c r="L4" t="str">
        <f t="shared" ref="L4:L6" si="0">_xlfn.CONCAT(J4,K4)</f>
        <v>NormalFrio</v>
      </c>
      <c r="M4" t="s">
        <v>83</v>
      </c>
    </row>
    <row r="5" spans="1:14" x14ac:dyDescent="0.35">
      <c r="A5" s="32">
        <v>1</v>
      </c>
      <c r="B5" s="32">
        <v>10</v>
      </c>
      <c r="C5" s="32">
        <v>10</v>
      </c>
      <c r="F5" s="76">
        <v>0.3</v>
      </c>
      <c r="G5" s="77">
        <v>0.10003580179218102</v>
      </c>
      <c r="H5" s="78">
        <v>8.9752690709071492E-2</v>
      </c>
      <c r="J5" t="s">
        <v>84</v>
      </c>
      <c r="K5" t="s">
        <v>79</v>
      </c>
      <c r="L5" t="str">
        <f t="shared" si="0"/>
        <v>MinCalor</v>
      </c>
      <c r="M5" t="s">
        <v>85</v>
      </c>
      <c r="N5" t="s">
        <v>86</v>
      </c>
    </row>
    <row r="6" spans="1:14" x14ac:dyDescent="0.35">
      <c r="A6" s="32">
        <v>1.5</v>
      </c>
      <c r="B6" s="32">
        <v>9.1999999999999993</v>
      </c>
      <c r="C6" s="32">
        <v>9</v>
      </c>
      <c r="F6" s="76">
        <v>0.4</v>
      </c>
      <c r="G6" s="77">
        <v>9.815383769929352E-2</v>
      </c>
      <c r="H6" s="78">
        <v>8.8031505577119307E-2</v>
      </c>
      <c r="J6" t="s">
        <v>84</v>
      </c>
      <c r="K6" t="s">
        <v>78</v>
      </c>
      <c r="L6" t="str">
        <f t="shared" si="0"/>
        <v>MinFrio</v>
      </c>
      <c r="M6" t="s">
        <v>87</v>
      </c>
    </row>
    <row r="7" spans="1:14" x14ac:dyDescent="0.35">
      <c r="A7" s="32">
        <v>2</v>
      </c>
      <c r="B7" s="32">
        <v>9</v>
      </c>
      <c r="C7" s="32">
        <v>8.5</v>
      </c>
      <c r="F7" s="76">
        <v>0.5</v>
      </c>
      <c r="G7" s="77">
        <v>9.6343049645218129E-2</v>
      </c>
      <c r="H7" s="78">
        <v>8.6375377175378298E-2</v>
      </c>
    </row>
    <row r="8" spans="1:14" x14ac:dyDescent="0.35">
      <c r="A8" s="32">
        <v>2.5</v>
      </c>
      <c r="B8" s="32">
        <v>8.8000000000000007</v>
      </c>
      <c r="C8" s="32">
        <v>8</v>
      </c>
      <c r="F8" s="76">
        <v>0.6</v>
      </c>
      <c r="G8" s="77">
        <v>9.4600788015179182E-2</v>
      </c>
      <c r="H8" s="78">
        <v>8.4781883687791951E-2</v>
      </c>
    </row>
    <row r="9" spans="1:14" x14ac:dyDescent="0.35">
      <c r="A9" s="32">
        <v>3</v>
      </c>
      <c r="B9" s="32">
        <v>8.6</v>
      </c>
      <c r="C9" s="32">
        <v>7.8</v>
      </c>
      <c r="F9" s="76">
        <v>0.7</v>
      </c>
      <c r="G9" s="77">
        <v>9.2924501829539513E-2</v>
      </c>
      <c r="H9" s="78">
        <v>8.3248693453357683E-2</v>
      </c>
    </row>
    <row r="10" spans="1:14" x14ac:dyDescent="0.35">
      <c r="A10" s="32">
        <v>3.5</v>
      </c>
      <c r="B10" s="32">
        <v>8.4</v>
      </c>
      <c r="C10" s="32">
        <v>7.8</v>
      </c>
      <c r="F10" s="76">
        <v>0.8</v>
      </c>
      <c r="G10" s="77">
        <v>9.1311735071987532E-2</v>
      </c>
      <c r="H10" s="78">
        <v>8.1773561609994772E-2</v>
      </c>
    </row>
    <row r="11" spans="1:14" x14ac:dyDescent="0.35">
      <c r="A11" s="32">
        <v>4</v>
      </c>
      <c r="B11" s="32">
        <v>8.1999999999999993</v>
      </c>
      <c r="C11" s="32">
        <v>7.7</v>
      </c>
      <c r="F11" s="76">
        <v>0.9</v>
      </c>
      <c r="G11" s="77">
        <v>8.9760123154411578E-2</v>
      </c>
      <c r="H11" s="78">
        <v>8.0354326863349035E-2</v>
      </c>
    </row>
    <row r="12" spans="1:14" x14ac:dyDescent="0.35">
      <c r="A12" s="32">
        <v>4.5</v>
      </c>
      <c r="B12" s="32">
        <v>8</v>
      </c>
      <c r="C12" s="32">
        <v>7.7</v>
      </c>
      <c r="F12" s="76">
        <v>1</v>
      </c>
      <c r="G12" s="77">
        <v>8.8267389513373748E-2</v>
      </c>
      <c r="H12" s="78">
        <v>7.8988908375882183E-2</v>
      </c>
    </row>
    <row r="13" spans="1:14" x14ac:dyDescent="0.35">
      <c r="A13" s="32">
        <v>5</v>
      </c>
      <c r="B13" s="32">
        <v>7.8</v>
      </c>
      <c r="C13" s="32">
        <v>7.6</v>
      </c>
      <c r="F13" s="76">
        <v>1.1000000000000001</v>
      </c>
      <c r="G13" s="77">
        <v>8.6831342333284323E-2</v>
      </c>
      <c r="H13" s="78">
        <v>7.76753027717689E-2</v>
      </c>
    </row>
    <row r="14" spans="1:14" x14ac:dyDescent="0.35">
      <c r="A14" s="32">
        <v>5.5</v>
      </c>
      <c r="B14" s="32">
        <v>7.6</v>
      </c>
      <c r="C14" s="32">
        <v>7.4</v>
      </c>
      <c r="F14" s="76">
        <v>1.2</v>
      </c>
      <c r="G14" s="77">
        <v>8.5449871391559601E-2</v>
      </c>
      <c r="H14" s="78">
        <v>7.6411581253290201E-2</v>
      </c>
    </row>
    <row r="15" spans="1:14" x14ac:dyDescent="0.35">
      <c r="A15" s="32">
        <v>6</v>
      </c>
      <c r="B15" s="32">
        <v>7.4</v>
      </c>
      <c r="C15" s="32">
        <v>7.2</v>
      </c>
      <c r="F15" s="76">
        <v>1.3</v>
      </c>
      <c r="G15" s="77">
        <v>8.4120945021223054E-2</v>
      </c>
      <c r="H15" s="78">
        <v>7.5195886824572455E-2</v>
      </c>
    </row>
    <row r="16" spans="1:14" x14ac:dyDescent="0.35">
      <c r="A16" s="32">
        <v>6.5</v>
      </c>
      <c r="B16" s="32">
        <v>7.2</v>
      </c>
      <c r="C16" s="32">
        <v>7</v>
      </c>
      <c r="F16" s="76">
        <v>1.4</v>
      </c>
      <c r="G16" s="77">
        <v>8.2842607186576933E-2</v>
      </c>
      <c r="H16" s="78">
        <v>7.4026431618676294E-2</v>
      </c>
    </row>
    <row r="17" spans="1:8" x14ac:dyDescent="0.35">
      <c r="A17" s="32">
        <v>7</v>
      </c>
      <c r="B17" s="32">
        <v>7</v>
      </c>
      <c r="C17" s="32">
        <v>6.8</v>
      </c>
      <c r="F17" s="76">
        <v>1.5</v>
      </c>
      <c r="G17" s="77">
        <v>8.1612974667735969E-2</v>
      </c>
      <c r="H17" s="78">
        <v>7.2901494324187702E-2</v>
      </c>
    </row>
    <row r="18" spans="1:8" x14ac:dyDescent="0.35">
      <c r="A18" s="32">
        <v>7.5</v>
      </c>
      <c r="B18" s="32">
        <v>6.8</v>
      </c>
      <c r="C18" s="32">
        <v>6.6</v>
      </c>
      <c r="F18" s="76">
        <v>1.6</v>
      </c>
      <c r="G18" s="77">
        <v>8.0430234349969792E-2</v>
      </c>
      <c r="H18" s="78">
        <v>7.181941770760765E-2</v>
      </c>
    </row>
    <row r="19" spans="1:8" x14ac:dyDescent="0.35">
      <c r="A19" s="32">
        <v>8</v>
      </c>
      <c r="B19" s="32">
        <v>6.6</v>
      </c>
      <c r="C19" s="32">
        <v>6.4</v>
      </c>
      <c r="F19" s="76">
        <v>1.7</v>
      </c>
      <c r="G19" s="77">
        <v>7.9292640613953261E-2</v>
      </c>
      <c r="H19" s="78">
        <v>7.0778606227973412E-2</v>
      </c>
    </row>
    <row r="20" spans="1:8" x14ac:dyDescent="0.35">
      <c r="A20" s="32">
        <v>8.5</v>
      </c>
      <c r="B20" s="32">
        <v>6.4</v>
      </c>
      <c r="C20" s="32">
        <v>6.2</v>
      </c>
      <c r="F20" s="76">
        <v>1.8</v>
      </c>
      <c r="G20" s="77">
        <v>7.8198512823167754E-2</v>
      </c>
      <c r="H20" s="78">
        <v>6.9777523740278874E-2</v>
      </c>
    </row>
    <row r="21" spans="1:8" x14ac:dyDescent="0.35">
      <c r="A21" s="32">
        <v>9</v>
      </c>
      <c r="B21" s="32">
        <v>6.2</v>
      </c>
      <c r="C21" s="32">
        <v>6</v>
      </c>
      <c r="F21" s="76">
        <v>1.9</v>
      </c>
      <c r="G21" s="77">
        <v>7.7146232904836978E-2</v>
      </c>
      <c r="H21" s="78">
        <v>6.8814691284387622E-2</v>
      </c>
    </row>
    <row r="22" spans="1:8" x14ac:dyDescent="0.35">
      <c r="A22" s="32">
        <v>9.5</v>
      </c>
      <c r="B22" s="32">
        <v>6</v>
      </c>
      <c r="C22" s="32">
        <v>5.8</v>
      </c>
      <c r="F22" s="76">
        <v>2</v>
      </c>
      <c r="G22" s="77">
        <v>7.6134243020915385E-2</v>
      </c>
      <c r="H22" s="78">
        <v>6.7888684956256537E-2</v>
      </c>
    </row>
    <row r="23" spans="1:8" x14ac:dyDescent="0.35">
      <c r="A23" s="32">
        <v>10</v>
      </c>
      <c r="B23" s="32">
        <v>5.8</v>
      </c>
      <c r="C23" s="32">
        <v>5.6</v>
      </c>
      <c r="F23" s="76">
        <v>2.1</v>
      </c>
      <c r="G23" s="77">
        <v>7.5161043325776986E-2</v>
      </c>
      <c r="H23" s="78">
        <v>6.6998133858405542E-2</v>
      </c>
    </row>
    <row r="24" spans="1:8" x14ac:dyDescent="0.35">
      <c r="A24" s="32">
        <v>10.5</v>
      </c>
      <c r="B24" s="32">
        <v>5.7</v>
      </c>
      <c r="C24" s="32">
        <v>5.5</v>
      </c>
      <c r="F24" s="76">
        <v>2.2000000000000002</v>
      </c>
      <c r="G24" s="77">
        <v>7.4225189807376871E-2</v>
      </c>
      <c r="H24" s="78">
        <v>6.6141718126683749E-2</v>
      </c>
    </row>
    <row r="25" spans="1:8" x14ac:dyDescent="0.35">
      <c r="A25" s="32">
        <v>11</v>
      </c>
      <c r="B25" s="32">
        <v>5.6</v>
      </c>
      <c r="C25" s="32">
        <v>5.4</v>
      </c>
      <c r="F25" s="76">
        <v>2.2999999999999998</v>
      </c>
      <c r="G25" s="77">
        <v>7.3325292208778065E-2</v>
      </c>
      <c r="H25" s="78">
        <v>6.5318167030491647E-2</v>
      </c>
    </row>
    <row r="26" spans="1:8" x14ac:dyDescent="0.35">
      <c r="A26" s="32">
        <v>11.5</v>
      </c>
      <c r="B26" s="32">
        <v>5.5</v>
      </c>
      <c r="C26" s="32">
        <v>5.3</v>
      </c>
      <c r="F26" s="76">
        <v>2.4</v>
      </c>
      <c r="G26" s="77">
        <v>7.2460012027052129E-2</v>
      </c>
      <c r="H26" s="78">
        <v>6.4526257143724702E-2</v>
      </c>
    </row>
    <row r="27" spans="1:8" x14ac:dyDescent="0.35">
      <c r="A27" s="32">
        <v>12</v>
      </c>
      <c r="B27" s="32">
        <v>5.4</v>
      </c>
      <c r="C27" s="32">
        <v>5.2</v>
      </c>
      <c r="F27" s="76">
        <v>2.5</v>
      </c>
      <c r="G27" s="77">
        <v>7.1628060586673231E-2</v>
      </c>
      <c r="H27" s="78">
        <v>6.376481058380587E-2</v>
      </c>
    </row>
    <row r="28" spans="1:8" x14ac:dyDescent="0.35">
      <c r="A28" s="32">
        <v>12.5</v>
      </c>
      <c r="B28" s="32">
        <v>5.3</v>
      </c>
      <c r="C28" s="32">
        <v>5.0999999999999996</v>
      </c>
      <c r="F28" s="76">
        <v>2.6</v>
      </c>
      <c r="G28" s="77">
        <v>7.0828197184632236E-2</v>
      </c>
      <c r="H28" s="78">
        <v>6.303269331627244E-2</v>
      </c>
    </row>
    <row r="29" spans="1:8" x14ac:dyDescent="0.35">
      <c r="A29" s="32">
        <v>13</v>
      </c>
      <c r="B29" s="32">
        <v>5.2</v>
      </c>
      <c r="C29" s="32">
        <v>5</v>
      </c>
      <c r="F29" s="76">
        <v>2.7</v>
      </c>
      <c r="G29" s="77">
        <v>7.0059227304601401E-2</v>
      </c>
      <c r="H29" s="78">
        <v>6.2328813522476365E-2</v>
      </c>
    </row>
    <row r="30" spans="1:8" x14ac:dyDescent="0.35">
      <c r="A30" s="32">
        <v>13.5</v>
      </c>
      <c r="B30" s="32">
        <v>5.0999999999999996</v>
      </c>
      <c r="C30" s="32">
        <v>4.9000000000000004</v>
      </c>
      <c r="F30" s="76">
        <v>2.8</v>
      </c>
      <c r="G30" s="77">
        <v>6.9320000897578796E-2</v>
      </c>
      <c r="H30" s="78">
        <v>6.1652120028049234E-2</v>
      </c>
    </row>
    <row r="31" spans="1:8" x14ac:dyDescent="0.35">
      <c r="A31" s="32">
        <v>14</v>
      </c>
      <c r="B31" s="32">
        <v>5</v>
      </c>
      <c r="C31" s="32">
        <v>4.8</v>
      </c>
      <c r="F31" s="76">
        <v>2.9</v>
      </c>
      <c r="G31" s="77">
        <v>6.8609410726538075E-2</v>
      </c>
      <c r="H31" s="78">
        <v>6.100160078986934E-2</v>
      </c>
    </row>
    <row r="32" spans="1:8" x14ac:dyDescent="0.35">
      <c r="A32" s="32">
        <v>14.5</v>
      </c>
      <c r="B32" s="32">
        <v>4.9000000000000004</v>
      </c>
      <c r="C32" s="32">
        <v>4.7</v>
      </c>
      <c r="F32" s="76">
        <v>3</v>
      </c>
      <c r="G32" s="77">
        <v>6.792639077270031E-2</v>
      </c>
      <c r="H32" s="78">
        <v>6.0376281439353509E-2</v>
      </c>
    </row>
    <row r="33" spans="1:8" x14ac:dyDescent="0.35">
      <c r="A33" s="32">
        <v>15</v>
      </c>
      <c r="B33" s="32">
        <v>4.8</v>
      </c>
      <c r="C33" s="32">
        <v>4.5999999999999996</v>
      </c>
      <c r="F33" s="76">
        <v>3.1</v>
      </c>
      <c r="G33" s="77">
        <v>6.7269914701134678E-2</v>
      </c>
      <c r="H33" s="78">
        <v>5.9775223879976275E-2</v>
      </c>
    </row>
    <row r="34" spans="1:8" x14ac:dyDescent="0.35">
      <c r="A34" s="32">
        <v>15.5</v>
      </c>
      <c r="B34" s="32">
        <v>4.7</v>
      </c>
      <c r="C34" s="32">
        <v>4.5</v>
      </c>
      <c r="F34" s="76">
        <v>3.2</v>
      </c>
      <c r="G34" s="77">
        <v>6.6638994383478756E-2</v>
      </c>
      <c r="H34" s="78">
        <v>5.9197524936998515E-2</v>
      </c>
    </row>
    <row r="35" spans="1:8" x14ac:dyDescent="0.35">
      <c r="A35" s="32">
        <v>16</v>
      </c>
      <c r="B35" s="32">
        <v>4.5999999999999996</v>
      </c>
      <c r="C35" s="32">
        <v>4.4000000000000004</v>
      </c>
      <c r="F35" s="76">
        <v>3.3</v>
      </c>
      <c r="G35" s="77">
        <v>6.6032678475652473E-2</v>
      </c>
      <c r="H35" s="78">
        <v>5.8642315057461307E-2</v>
      </c>
    </row>
    <row r="36" spans="1:8" x14ac:dyDescent="0.35">
      <c r="A36" s="32">
        <v>16.5</v>
      </c>
      <c r="B36" s="32">
        <v>4.5999999999999996</v>
      </c>
      <c r="C36" s="32">
        <v>4.3</v>
      </c>
      <c r="F36" s="76">
        <v>3.4</v>
      </c>
      <c r="G36" s="77">
        <v>6.5450051048518434E-2</v>
      </c>
      <c r="H36" s="78">
        <v>5.8108757058574177E-2</v>
      </c>
    </row>
    <row r="37" spans="1:8" x14ac:dyDescent="0.35">
      <c r="A37" s="32">
        <v>17</v>
      </c>
      <c r="B37" s="32">
        <v>4.5</v>
      </c>
      <c r="C37" s="32">
        <v>4.2</v>
      </c>
      <c r="F37" s="76">
        <v>3.5</v>
      </c>
      <c r="G37" s="77">
        <v>6.4890230269517443E-2</v>
      </c>
      <c r="H37" s="78">
        <v>5.7596044922696224E-2</v>
      </c>
    </row>
    <row r="38" spans="1:8" x14ac:dyDescent="0.35">
      <c r="A38" s="32">
        <v>17.5</v>
      </c>
      <c r="B38" s="32">
        <v>4.5</v>
      </c>
      <c r="C38" s="32">
        <v>4.0999999999999996</v>
      </c>
      <c r="F38" s="76">
        <v>3.6</v>
      </c>
      <c r="G38" s="77">
        <v>6.4352367133381883E-2</v>
      </c>
      <c r="H38" s="78">
        <v>5.7103402637175352E-2</v>
      </c>
    </row>
    <row r="39" spans="1:8" x14ac:dyDescent="0.35">
      <c r="A39" s="32">
        <v>18</v>
      </c>
      <c r="B39" s="32">
        <v>4.5</v>
      </c>
      <c r="C39" s="32">
        <v>4.0999999999999996</v>
      </c>
      <c r="F39" s="76">
        <v>3.7</v>
      </c>
      <c r="G39" s="77">
        <v>6.3835644240099798E-2</v>
      </c>
      <c r="H39" s="78">
        <v>5.6630083077376055E-2</v>
      </c>
    </row>
    <row r="40" spans="1:8" x14ac:dyDescent="0.35">
      <c r="A40" s="32">
        <v>18.5</v>
      </c>
      <c r="B40" s="32">
        <v>4.4000000000000004</v>
      </c>
      <c r="C40" s="32">
        <v>4</v>
      </c>
      <c r="F40" s="76">
        <v>3.8</v>
      </c>
      <c r="G40" s="77">
        <v>6.3339274618370675E-2</v>
      </c>
      <c r="H40" s="78">
        <v>5.6175366931287822E-2</v>
      </c>
    </row>
    <row r="41" spans="1:8" x14ac:dyDescent="0.35">
      <c r="A41" s="32">
        <v>19</v>
      </c>
      <c r="B41" s="32">
        <v>4.4000000000000004</v>
      </c>
      <c r="C41" s="32">
        <v>4</v>
      </c>
      <c r="F41" s="76">
        <v>3.9</v>
      </c>
      <c r="G41" s="77">
        <v>6.2862500592859638E-2</v>
      </c>
      <c r="H41" s="78">
        <v>5.5738561664166193E-2</v>
      </c>
    </row>
    <row r="42" spans="1:8" x14ac:dyDescent="0.35">
      <c r="A42" s="33">
        <v>19.5</v>
      </c>
      <c r="B42" s="33">
        <v>4.2</v>
      </c>
      <c r="C42" s="33">
        <v>3.9</v>
      </c>
      <c r="F42" s="76">
        <v>4</v>
      </c>
      <c r="G42" s="77">
        <v>6.2404592693619421E-2</v>
      </c>
      <c r="H42" s="78">
        <v>5.5319000521716483E-2</v>
      </c>
    </row>
    <row r="43" spans="1:8" x14ac:dyDescent="0.35">
      <c r="A43" s="32">
        <v>20</v>
      </c>
      <c r="B43" s="32">
        <v>4.2</v>
      </c>
      <c r="C43" s="32">
        <v>3.9</v>
      </c>
      <c r="F43" s="76">
        <v>4.0999999999999996</v>
      </c>
      <c r="G43" s="77">
        <v>6.1964848606110401E-2</v>
      </c>
      <c r="H43" s="78">
        <v>5.4916041570385092E-2</v>
      </c>
    </row>
    <row r="44" spans="1:8" x14ac:dyDescent="0.35">
      <c r="A44" s="33">
        <v>20.5</v>
      </c>
      <c r="B44" s="33">
        <v>4</v>
      </c>
      <c r="C44" s="33">
        <v>3.8</v>
      </c>
      <c r="F44" s="76">
        <v>4.2</v>
      </c>
      <c r="G44" s="77">
        <v>6.1542592160307538E-2</v>
      </c>
      <c r="H44" s="78">
        <v>5.4529066773377155E-2</v>
      </c>
    </row>
    <row r="45" spans="1:8" x14ac:dyDescent="0.35">
      <c r="A45" s="33">
        <v>21</v>
      </c>
      <c r="B45" s="33">
        <v>4</v>
      </c>
      <c r="C45" s="33">
        <v>3.8</v>
      </c>
      <c r="F45" s="76">
        <v>4.3</v>
      </c>
      <c r="G45" s="77">
        <v>6.1137172357438874E-2</v>
      </c>
      <c r="H45" s="78">
        <v>5.4157481101070631E-2</v>
      </c>
    </row>
    <row r="46" spans="1:8" x14ac:dyDescent="0.35">
      <c r="A46" s="32">
        <v>21.5</v>
      </c>
      <c r="B46" s="32">
        <v>3.8</v>
      </c>
      <c r="C46" s="32">
        <v>3.7</v>
      </c>
      <c r="F46" s="76">
        <v>4.4000000000000004</v>
      </c>
      <c r="G46" s="77">
        <v>6.0747962432955022E-2</v>
      </c>
      <c r="H46" s="78">
        <v>5.3800711674546212E-2</v>
      </c>
    </row>
    <row r="47" spans="1:8" x14ac:dyDescent="0.35">
      <c r="A47" s="32">
        <v>22</v>
      </c>
      <c r="B47" s="32">
        <v>3.8</v>
      </c>
      <c r="C47" s="32">
        <v>3.7</v>
      </c>
      <c r="F47" s="76">
        <v>4.5</v>
      </c>
      <c r="G47" s="77">
        <v>6.0374358954380716E-2</v>
      </c>
      <c r="H47" s="78">
        <v>5.3458206941000418E-2</v>
      </c>
    </row>
    <row r="48" spans="1:8" x14ac:dyDescent="0.35">
      <c r="A48" s="32">
        <v>22.5</v>
      </c>
      <c r="B48" s="32">
        <v>3.6</v>
      </c>
      <c r="C48" s="32">
        <v>3.6</v>
      </c>
      <c r="F48" s="76">
        <v>4.5999999999999996</v>
      </c>
      <c r="G48" s="77">
        <v>6.0015780952749835E-2</v>
      </c>
      <c r="H48" s="78">
        <v>5.3129435879855032E-2</v>
      </c>
    </row>
    <row r="49" spans="1:8" x14ac:dyDescent="0.35">
      <c r="A49" s="32">
        <v>23</v>
      </c>
      <c r="B49" s="32">
        <v>3.6</v>
      </c>
      <c r="C49" s="32">
        <v>3.5</v>
      </c>
      <c r="F49" s="76">
        <v>4.7</v>
      </c>
      <c r="G49" s="77">
        <v>5.9671669086373995E-2</v>
      </c>
      <c r="H49" s="78">
        <v>5.2813887238419857E-2</v>
      </c>
    </row>
    <row r="50" spans="1:8" x14ac:dyDescent="0.35">
      <c r="A50" s="32">
        <v>23.5</v>
      </c>
      <c r="B50" s="32">
        <v>3.5</v>
      </c>
      <c r="C50" s="32">
        <v>3.4</v>
      </c>
      <c r="F50" s="76">
        <v>4.8</v>
      </c>
      <c r="G50" s="77">
        <v>5.9341484835740754E-2</v>
      </c>
      <c r="H50" s="78">
        <v>5.2511068796009114E-2</v>
      </c>
    </row>
    <row r="51" spans="1:8" x14ac:dyDescent="0.35">
      <c r="A51" s="32">
        <v>24</v>
      </c>
      <c r="B51" s="32">
        <v>3.5</v>
      </c>
      <c r="C51" s="32">
        <v>3.3</v>
      </c>
      <c r="F51" s="76">
        <v>4.9000000000000004</v>
      </c>
      <c r="G51" s="77">
        <v>5.9024709728382654E-2</v>
      </c>
      <c r="H51" s="78">
        <v>5.2220506655451866E-2</v>
      </c>
    </row>
    <row r="52" spans="1:8" x14ac:dyDescent="0.35">
      <c r="A52" s="32">
        <v>24.5</v>
      </c>
      <c r="B52" s="32">
        <v>3.4</v>
      </c>
      <c r="C52" s="32">
        <v>3.3</v>
      </c>
      <c r="F52" s="76">
        <v>5</v>
      </c>
      <c r="G52" s="77">
        <v>5.8720844592601698E-2</v>
      </c>
      <c r="H52" s="78">
        <v>5.1941744560976735E-2</v>
      </c>
    </row>
    <row r="53" spans="1:8" x14ac:dyDescent="0.35">
      <c r="A53" s="32">
        <v>25</v>
      </c>
      <c r="B53" s="32">
        <v>3.4</v>
      </c>
      <c r="C53" s="32">
        <v>3.2</v>
      </c>
      <c r="F53" s="76">
        <v>5.0999999999999996</v>
      </c>
      <c r="G53" s="77">
        <v>5.8429408838974614E-2</v>
      </c>
      <c r="H53" s="78">
        <v>5.1674343241489493E-2</v>
      </c>
    </row>
    <row r="54" spans="1:8" x14ac:dyDescent="0.35">
      <c r="A54" s="32">
        <v>25.5</v>
      </c>
      <c r="B54" s="32">
        <v>3.4</v>
      </c>
      <c r="C54" s="32">
        <v>3.2</v>
      </c>
      <c r="F54" s="76">
        <v>5.2</v>
      </c>
      <c r="G54" s="77">
        <v>5.8149939768604955E-2</v>
      </c>
      <c r="H54" s="78">
        <v>5.1417879778297662E-2</v>
      </c>
    </row>
    <row r="55" spans="1:8" x14ac:dyDescent="0.35">
      <c r="A55" s="32">
        <v>26</v>
      </c>
      <c r="B55" s="32">
        <v>3.4</v>
      </c>
      <c r="C55" s="32">
        <v>3.1</v>
      </c>
      <c r="F55" s="76">
        <v>5.3</v>
      </c>
      <c r="G55" s="77">
        <v>5.7881991907126562E-2</v>
      </c>
      <c r="H55" s="78">
        <v>5.1171946996372362E-2</v>
      </c>
    </row>
    <row r="56" spans="1:8" x14ac:dyDescent="0.35">
      <c r="A56" s="32">
        <v>26.5</v>
      </c>
      <c r="B56" s="32">
        <v>3.3</v>
      </c>
      <c r="C56" s="32">
        <v>3.1</v>
      </c>
      <c r="F56" s="76">
        <v>5.4</v>
      </c>
      <c r="G56" s="77">
        <v>5.7625136363499391E-2</v>
      </c>
      <c r="H56" s="78">
        <v>5.0936152878271378E-2</v>
      </c>
    </row>
    <row r="57" spans="1:8" x14ac:dyDescent="0.35">
      <c r="A57" s="32">
        <v>27</v>
      </c>
      <c r="B57" s="32">
        <v>3.3</v>
      </c>
      <c r="C57" s="32">
        <v>3.1</v>
      </c>
      <c r="F57" s="76">
        <v>5.5</v>
      </c>
      <c r="G57" s="77">
        <v>5.7378960212674995E-2</v>
      </c>
      <c r="H57" s="78">
        <v>5.0710119999879462E-2</v>
      </c>
    </row>
    <row r="58" spans="1:8" x14ac:dyDescent="0.35">
      <c r="A58" s="32">
        <v>27.5</v>
      </c>
      <c r="B58" s="32">
        <v>3.2</v>
      </c>
      <c r="C58" s="32">
        <v>3</v>
      </c>
      <c r="F58" s="76">
        <v>5.6</v>
      </c>
      <c r="G58" s="77">
        <v>5.7143065901242962E-2</v>
      </c>
      <c r="H58" s="78">
        <v>5.0493484987153996E-2</v>
      </c>
    </row>
    <row r="59" spans="1:8" x14ac:dyDescent="0.35">
      <c r="A59" s="32">
        <v>28</v>
      </c>
      <c r="B59" s="32">
        <v>3.2</v>
      </c>
      <c r="C59" s="32">
        <v>3</v>
      </c>
      <c r="F59" s="76">
        <v>5.7</v>
      </c>
      <c r="G59" s="77">
        <v>5.691707067520306E-2</v>
      </c>
      <c r="H59" s="78">
        <v>5.0285897993093805E-2</v>
      </c>
    </row>
    <row r="60" spans="1:8" x14ac:dyDescent="0.35">
      <c r="A60" s="32">
        <v>28.5</v>
      </c>
      <c r="B60" s="32">
        <v>3.2</v>
      </c>
      <c r="C60" s="32">
        <v>3</v>
      </c>
      <c r="F60" s="76">
        <v>5.8</v>
      </c>
      <c r="G60" s="77">
        <v>5.6700606029039147E-2</v>
      </c>
      <c r="H60" s="78">
        <v>5.0087022194178696E-2</v>
      </c>
    </row>
    <row r="61" spans="1:8" x14ac:dyDescent="0.35">
      <c r="A61" s="32">
        <v>29</v>
      </c>
      <c r="B61" s="32">
        <v>3.1</v>
      </c>
      <c r="C61" s="32">
        <v>2.9</v>
      </c>
      <c r="F61" s="76">
        <v>5.9</v>
      </c>
      <c r="G61" s="77">
        <v>5.6493317175301913E-2</v>
      </c>
      <c r="H61" s="78">
        <v>4.989653330555445E-2</v>
      </c>
    </row>
    <row r="62" spans="1:8" x14ac:dyDescent="0.35">
      <c r="A62" s="32">
        <v>29.5</v>
      </c>
      <c r="B62" s="32">
        <v>3.1</v>
      </c>
      <c r="C62" s="32">
        <v>2.9</v>
      </c>
      <c r="F62" s="76">
        <v>6</v>
      </c>
      <c r="G62" s="77">
        <v>5.6294862533937159E-2</v>
      </c>
      <c r="H62" s="78">
        <v>4.9714119114265681E-2</v>
      </c>
    </row>
    <row r="63" spans="1:8" x14ac:dyDescent="0.35">
      <c r="A63" s="32">
        <v>30</v>
      </c>
      <c r="B63" s="32">
        <v>3.1</v>
      </c>
      <c r="C63" s="32">
        <v>2.9</v>
      </c>
      <c r="F63" s="76">
        <v>6.1</v>
      </c>
      <c r="G63" s="77">
        <v>5.6104913240624478E-2</v>
      </c>
      <c r="H63" s="78">
        <v>4.9539479029864698E-2</v>
      </c>
    </row>
    <row r="64" spans="1:8" x14ac:dyDescent="0.35">
      <c r="A64" s="32">
        <v>30.5</v>
      </c>
      <c r="B64" s="32">
        <v>3</v>
      </c>
      <c r="C64" s="32">
        <v>2.9</v>
      </c>
      <c r="F64" s="76">
        <v>6.2</v>
      </c>
      <c r="G64" s="77">
        <v>5.5923152673418526E-2</v>
      </c>
      <c r="H64" s="78">
        <v>4.9372323651749539E-2</v>
      </c>
    </row>
    <row r="65" spans="1:8" x14ac:dyDescent="0.35">
      <c r="A65" s="33">
        <v>31</v>
      </c>
      <c r="B65" s="33">
        <v>3</v>
      </c>
      <c r="C65" s="33">
        <v>2.8</v>
      </c>
      <c r="F65" s="76">
        <v>6.3</v>
      </c>
      <c r="G65" s="77">
        <v>5.5749275997011648E-2</v>
      </c>
      <c r="H65" s="78">
        <v>4.92123743526083E-2</v>
      </c>
    </row>
    <row r="66" spans="1:8" x14ac:dyDescent="0.35">
      <c r="A66" s="32">
        <v>31.5</v>
      </c>
      <c r="B66" s="32">
        <v>3</v>
      </c>
      <c r="C66" s="32">
        <v>2.8</v>
      </c>
      <c r="F66" s="76">
        <v>6.4</v>
      </c>
      <c r="G66" s="77">
        <v>5.5582989723962001E-2</v>
      </c>
      <c r="H66" s="78">
        <v>4.9059362877370248E-2</v>
      </c>
    </row>
    <row r="67" spans="1:8" x14ac:dyDescent="0.35">
      <c r="A67" s="32">
        <v>32</v>
      </c>
      <c r="B67" s="32">
        <v>3</v>
      </c>
      <c r="C67" s="32">
        <v>2.8</v>
      </c>
      <c r="F67" s="76">
        <v>6.5</v>
      </c>
      <c r="G67" s="77">
        <v>5.5424011292255396E-2</v>
      </c>
      <c r="H67" s="78">
        <v>4.8913030957086559E-2</v>
      </c>
    </row>
    <row r="68" spans="1:8" x14ac:dyDescent="0.35">
      <c r="A68" s="33">
        <v>32.5</v>
      </c>
      <c r="B68" s="33">
        <v>2.9</v>
      </c>
      <c r="C68" s="33">
        <v>2.7</v>
      </c>
      <c r="F68" s="76">
        <v>6.6</v>
      </c>
      <c r="G68" s="77">
        <v>5.527206865859291E-2</v>
      </c>
      <c r="H68" s="78">
        <v>4.8773129937184752E-2</v>
      </c>
    </row>
    <row r="69" spans="1:8" x14ac:dyDescent="0.35">
      <c r="A69" s="32">
        <v>33</v>
      </c>
      <c r="B69" s="32">
        <v>2.9</v>
      </c>
      <c r="C69" s="32">
        <v>2.7</v>
      </c>
      <c r="F69" s="76">
        <v>6.7</v>
      </c>
      <c r="G69" s="77">
        <v>5.5126899906818946E-2</v>
      </c>
      <c r="H69" s="78">
        <v>4.8639420419561763E-2</v>
      </c>
    </row>
    <row r="70" spans="1:8" x14ac:dyDescent="0.35">
      <c r="A70" s="32">
        <v>33.5</v>
      </c>
      <c r="B70" s="32">
        <v>2.9</v>
      </c>
      <c r="C70" s="32">
        <v>2.7</v>
      </c>
      <c r="F70" s="76">
        <v>6.8</v>
      </c>
      <c r="G70" s="77">
        <v>5.498825287092593E-2</v>
      </c>
      <c r="H70" s="78">
        <v>4.8511671918000675E-2</v>
      </c>
    </row>
    <row r="71" spans="1:8" x14ac:dyDescent="0.35">
      <c r="A71" s="32">
        <v>34</v>
      </c>
      <c r="B71" s="32">
        <v>2.9</v>
      </c>
      <c r="C71" s="32">
        <v>2.6</v>
      </c>
      <c r="F71" s="76">
        <v>6.9</v>
      </c>
      <c r="G71" s="77">
        <v>5.4855884772093216E-2</v>
      </c>
      <c r="H71" s="78">
        <v>4.8389662526414821E-2</v>
      </c>
    </row>
    <row r="72" spans="1:8" x14ac:dyDescent="0.35">
      <c r="A72" s="32">
        <v>34.5</v>
      </c>
      <c r="B72" s="32">
        <v>2.8</v>
      </c>
      <c r="C72" s="32">
        <v>2.6</v>
      </c>
      <c r="F72" s="76">
        <v>7</v>
      </c>
      <c r="G72" s="77">
        <v>5.4729561869237595E-2</v>
      </c>
      <c r="H72" s="78">
        <v>4.8273178599442031E-2</v>
      </c>
    </row>
    <row r="73" spans="1:8" x14ac:dyDescent="0.35">
      <c r="A73" s="32">
        <v>35</v>
      </c>
      <c r="B73" s="32">
        <v>2.8</v>
      </c>
      <c r="C73" s="32">
        <v>2.5</v>
      </c>
      <c r="F73" s="76">
        <v>7.1</v>
      </c>
      <c r="G73" s="77">
        <v>5.4609059122572495E-2</v>
      </c>
      <c r="H73" s="78">
        <v>4.8162014444929083E-2</v>
      </c>
    </row>
    <row r="74" spans="1:8" x14ac:dyDescent="0.35">
      <c r="A74" s="32">
        <v>35.5</v>
      </c>
      <c r="B74" s="32">
        <v>2.8</v>
      </c>
      <c r="C74" s="32">
        <v>2.5</v>
      </c>
      <c r="F74" s="76">
        <v>7.2</v>
      </c>
      <c r="G74" s="77">
        <v>5.4494159869691597E-2</v>
      </c>
      <c r="H74" s="78">
        <v>4.8055972027863797E-2</v>
      </c>
    </row>
    <row r="75" spans="1:8" x14ac:dyDescent="0.35">
      <c r="A75" s="32">
        <v>36</v>
      </c>
      <c r="B75" s="32">
        <v>2.8</v>
      </c>
      <c r="C75" s="32">
        <v>2.5</v>
      </c>
      <c r="F75" s="76">
        <v>7.3</v>
      </c>
      <c r="G75" s="77">
        <v>5.4384655513710703E-2</v>
      </c>
      <c r="H75" s="78">
        <v>4.7954860685328608E-2</v>
      </c>
    </row>
    <row r="76" spans="1:8" x14ac:dyDescent="0.35">
      <c r="A76" s="32">
        <v>36.5</v>
      </c>
      <c r="B76" s="32">
        <v>2.8</v>
      </c>
      <c r="C76" s="32">
        <v>2.5</v>
      </c>
      <c r="F76" s="76">
        <v>7.4</v>
      </c>
      <c r="G76" s="77">
        <v>5.4280345223018805E-2</v>
      </c>
      <c r="H76" s="78">
        <v>4.7858496852065419E-2</v>
      </c>
    </row>
    <row r="77" spans="1:8" x14ac:dyDescent="0.35">
      <c r="A77" s="32"/>
      <c r="B77" s="32"/>
      <c r="C77" s="32"/>
      <c r="F77" s="76">
        <v>7.5</v>
      </c>
      <c r="G77" s="77">
        <v>5.4181035642206325E-2</v>
      </c>
      <c r="H77" s="78">
        <v>4.7766703796256547E-2</v>
      </c>
    </row>
    <row r="78" spans="1:8" x14ac:dyDescent="0.35">
      <c r="A78" s="32"/>
      <c r="B78" s="32"/>
      <c r="C78" s="32"/>
      <c r="F78" s="76">
        <v>7.6</v>
      </c>
      <c r="G78" s="77">
        <v>5.4086540613754425E-2</v>
      </c>
      <c r="H78" s="78">
        <v>4.7679311365141565E-2</v>
      </c>
    </row>
    <row r="79" spans="1:8" x14ac:dyDescent="0.35">
      <c r="A79" s="32"/>
      <c r="B79" s="32"/>
      <c r="C79" s="32"/>
      <c r="F79" s="76">
        <v>7.7</v>
      </c>
      <c r="G79" s="77">
        <v>5.3996680910084756E-2</v>
      </c>
      <c r="H79" s="78">
        <v>4.7596155740103896E-2</v>
      </c>
    </row>
    <row r="80" spans="1:8" x14ac:dyDescent="0.35">
      <c r="A80" s="32"/>
      <c r="B80" s="32"/>
      <c r="C80" s="32"/>
      <c r="F80" s="76">
        <v>7.8</v>
      </c>
      <c r="G80" s="77">
        <v>5.3911283975583965E-2</v>
      </c>
      <c r="H80" s="78">
        <v>4.7517079200874585E-2</v>
      </c>
    </row>
    <row r="81" spans="1:8" x14ac:dyDescent="0.35">
      <c r="A81" s="32"/>
      <c r="B81" s="32"/>
      <c r="C81" s="32"/>
      <c r="F81" s="76">
        <v>7.9</v>
      </c>
      <c r="G81" s="77">
        <v>5.3830183678231662E-2</v>
      </c>
      <c r="H81" s="78">
        <v>4.7441929898513889E-2</v>
      </c>
    </row>
    <row r="82" spans="1:8" x14ac:dyDescent="0.35">
      <c r="A82" s="34"/>
      <c r="B82" s="34"/>
      <c r="C82" s="34"/>
      <c r="F82" s="76">
        <v>8</v>
      </c>
      <c r="G82" s="77">
        <v>5.3753220070474353E-2</v>
      </c>
      <c r="H82" s="78">
        <v>4.7370561636843861E-2</v>
      </c>
    </row>
    <row r="83" spans="1:8" x14ac:dyDescent="0.35">
      <c r="A83" s="32"/>
      <c r="B83" s="32"/>
      <c r="C83" s="32"/>
      <c r="F83" s="76">
        <v>8.1</v>
      </c>
      <c r="G83" s="77">
        <v>5.368023915900115E-2</v>
      </c>
      <c r="H83" s="78">
        <v>4.7302833662017429E-2</v>
      </c>
    </row>
    <row r="84" spans="1:8" x14ac:dyDescent="0.35">
      <c r="A84" s="32"/>
      <c r="B84" s="32"/>
      <c r="C84" s="32"/>
      <c r="F84" s="76">
        <v>8.1999999999999993</v>
      </c>
      <c r="G84" s="77">
        <v>5.3611092683089778E-2</v>
      </c>
      <c r="H84" s="78">
        <v>4.7238610459921011E-2</v>
      </c>
    </row>
    <row r="85" spans="1:8" x14ac:dyDescent="0.35">
      <c r="A85" s="32"/>
      <c r="B85" s="32"/>
      <c r="C85" s="32"/>
      <c r="F85" s="76">
        <v>8.3000000000000007</v>
      </c>
      <c r="G85" s="77">
        <v>5.3545637901204035E-2</v>
      </c>
      <c r="H85" s="78">
        <v>4.7177761561119004E-2</v>
      </c>
    </row>
    <row r="86" spans="1:8" x14ac:dyDescent="0.35">
      <c r="A86" s="32"/>
      <c r="B86" s="32"/>
      <c r="C86" s="32"/>
      <c r="F86" s="76">
        <v>8.4</v>
      </c>
      <c r="G86" s="77">
        <v>5.3483737385535322E-2</v>
      </c>
      <c r="H86" s="78">
        <v>4.7120161353059554E-2</v>
      </c>
    </row>
    <row r="87" spans="1:8" x14ac:dyDescent="0.35">
      <c r="A87" s="32"/>
      <c r="B87" s="32"/>
      <c r="C87" s="32"/>
      <c r="F87" s="76">
        <v>8.5</v>
      </c>
      <c r="G87" s="77">
        <v>5.373915597216336E-2</v>
      </c>
      <c r="H87" s="78">
        <v>4.7065688899271083E-2</v>
      </c>
    </row>
    <row r="88" spans="1:8" x14ac:dyDescent="0.35">
      <c r="A88" s="32"/>
      <c r="B88" s="32"/>
      <c r="C88" s="32"/>
      <c r="F88" s="76">
        <v>8.6</v>
      </c>
      <c r="G88" s="77">
        <v>5.3513214475369303E-2</v>
      </c>
      <c r="H88" s="78">
        <v>4.7290457255503758E-2</v>
      </c>
    </row>
    <row r="89" spans="1:8" x14ac:dyDescent="0.35">
      <c r="A89" s="32"/>
      <c r="B89" s="32"/>
      <c r="C89" s="32"/>
      <c r="F89" s="76">
        <v>8.6999999999999993</v>
      </c>
      <c r="G89" s="77">
        <v>5.3289885077525599E-2</v>
      </c>
      <c r="H89" s="78">
        <v>4.7091628738324988E-2</v>
      </c>
    </row>
    <row r="90" spans="1:8" x14ac:dyDescent="0.35">
      <c r="A90" s="32"/>
      <c r="B90" s="32"/>
      <c r="C90" s="32"/>
      <c r="F90" s="76">
        <v>8.8000000000000007</v>
      </c>
      <c r="G90" s="77">
        <v>5.3069108071541082E-2</v>
      </c>
      <c r="H90" s="78">
        <v>4.6895098868222525E-2</v>
      </c>
    </row>
    <row r="91" spans="1:8" x14ac:dyDescent="0.35">
      <c r="A91" s="32"/>
      <c r="B91" s="32"/>
      <c r="C91" s="32"/>
      <c r="F91" s="76">
        <v>8.9</v>
      </c>
      <c r="G91" s="77">
        <v>5.2850825774381348E-2</v>
      </c>
      <c r="H91" s="78">
        <v>4.670081510295615E-2</v>
      </c>
    </row>
    <row r="92" spans="1:8" x14ac:dyDescent="0.35">
      <c r="A92" s="32"/>
      <c r="B92" s="32"/>
      <c r="C92" s="32"/>
      <c r="F92" s="76">
        <v>9</v>
      </c>
      <c r="G92" s="77">
        <v>5.2634982436603445E-2</v>
      </c>
      <c r="H92" s="78">
        <v>4.6508726681455587E-2</v>
      </c>
    </row>
    <row r="93" spans="1:8" x14ac:dyDescent="0.35">
      <c r="A93" s="32"/>
      <c r="B93" s="32"/>
      <c r="C93" s="32"/>
      <c r="F93" s="76">
        <v>9.1</v>
      </c>
      <c r="G93" s="77">
        <v>5.2421524156888687E-2</v>
      </c>
      <c r="H93" s="78">
        <v>4.6318784544211032E-2</v>
      </c>
    </row>
    <row r="94" spans="1:8" x14ac:dyDescent="0.35">
      <c r="A94" s="32"/>
      <c r="B94" s="32"/>
      <c r="C94" s="32"/>
      <c r="F94" s="76">
        <v>9.1999999999999993</v>
      </c>
      <c r="G94" s="77">
        <v>5.2210398801246324E-2</v>
      </c>
      <c r="H94" s="78">
        <v>4.6130941258062046E-2</v>
      </c>
    </row>
    <row r="95" spans="1:8" x14ac:dyDescent="0.35">
      <c r="A95" s="32"/>
      <c r="B95" s="32"/>
      <c r="C95" s="32"/>
      <c r="F95" s="76">
        <v>9.3000000000000007</v>
      </c>
      <c r="G95" s="77">
        <v>5.200155592658471E-2</v>
      </c>
      <c r="H95" s="78">
        <v>4.5945150945096769E-2</v>
      </c>
    </row>
    <row r="96" spans="1:8" x14ac:dyDescent="0.35">
      <c r="A96" s="32"/>
      <c r="B96" s="32"/>
      <c r="C96" s="32"/>
      <c r="F96" s="76">
        <v>9.4</v>
      </c>
      <c r="G96" s="77">
        <v>5.1794946708369802E-2</v>
      </c>
      <c r="H96" s="78">
        <v>4.5761369215394546E-2</v>
      </c>
    </row>
    <row r="97" spans="1:8" x14ac:dyDescent="0.35">
      <c r="A97" s="32"/>
      <c r="B97" s="32"/>
      <c r="C97" s="32"/>
      <c r="F97" s="76">
        <v>9.5</v>
      </c>
      <c r="G97" s="77">
        <v>5.1590523872111632E-2</v>
      </c>
      <c r="H97" s="78">
        <v>4.5579553103365429E-2</v>
      </c>
    </row>
    <row r="98" spans="1:8" x14ac:dyDescent="0.35">
      <c r="A98" s="32"/>
      <c r="B98" s="32"/>
      <c r="C98" s="32"/>
      <c r="F98" s="76">
        <v>9.6</v>
      </c>
      <c r="G98" s="77">
        <v>5.1388241628437858E-2</v>
      </c>
      <c r="H98" s="78">
        <v>4.5399661007458236E-2</v>
      </c>
    </row>
    <row r="99" spans="1:8" x14ac:dyDescent="0.35">
      <c r="A99" s="32"/>
      <c r="B99" s="32"/>
      <c r="C99" s="32"/>
      <c r="F99" s="76">
        <v>9.6999999999999993</v>
      </c>
      <c r="G99" s="77">
        <v>5.1188055611531683E-2</v>
      </c>
      <c r="H99" s="78">
        <v>4.5221652633025314E-2</v>
      </c>
    </row>
    <row r="100" spans="1:8" x14ac:dyDescent="0.35">
      <c r="A100" s="32"/>
      <c r="B100" s="32"/>
      <c r="C100" s="32"/>
      <c r="F100" s="76">
        <v>9.8000000000000007</v>
      </c>
      <c r="G100" s="77">
        <v>5.0989922820727028E-2</v>
      </c>
      <c r="H100" s="78">
        <v>4.504548893814788E-2</v>
      </c>
    </row>
    <row r="101" spans="1:8" x14ac:dyDescent="0.35">
      <c r="A101" s="32"/>
      <c r="B101" s="32"/>
      <c r="C101" s="32"/>
      <c r="F101" s="76">
        <v>9.9</v>
      </c>
      <c r="G101" s="77">
        <v>5.0793801565068464E-2</v>
      </c>
      <c r="H101" s="78">
        <v>4.4871132082239785E-2</v>
      </c>
    </row>
    <row r="102" spans="1:8" x14ac:dyDescent="0.35">
      <c r="A102" s="32"/>
      <c r="B102" s="32"/>
      <c r="C102" s="32"/>
      <c r="F102" s="76">
        <v>10</v>
      </c>
      <c r="G102" s="77">
        <v>5.0599651410657261E-2</v>
      </c>
      <c r="H102" s="78">
        <v>4.469854537726025E-2</v>
      </c>
    </row>
    <row r="103" spans="1:8" x14ac:dyDescent="0.35">
      <c r="F103" s="76">
        <v>10.1</v>
      </c>
      <c r="G103" s="77">
        <v>5.0407433130617206E-2</v>
      </c>
      <c r="H103" s="78">
        <v>4.452769324137839E-2</v>
      </c>
    </row>
    <row r="104" spans="1:8" x14ac:dyDescent="0.35">
      <c r="F104" s="76">
        <v>10.199999999999999</v>
      </c>
      <c r="G104" s="77">
        <v>5.021710865752517E-2</v>
      </c>
      <c r="H104" s="78">
        <v>4.4358541154943143E-2</v>
      </c>
    </row>
    <row r="105" spans="1:8" x14ac:dyDescent="0.35">
      <c r="F105" s="76">
        <v>10.3</v>
      </c>
      <c r="G105" s="77">
        <v>5.0028641038162444E-2</v>
      </c>
      <c r="H105" s="78">
        <v>4.4191055618622146E-2</v>
      </c>
    </row>
    <row r="106" spans="1:8" x14ac:dyDescent="0.35">
      <c r="F106" s="76">
        <v>10.4</v>
      </c>
      <c r="G106" s="77">
        <v>4.9841994390451914E-2</v>
      </c>
      <c r="H106" s="78">
        <v>4.4025204113582954E-2</v>
      </c>
    </row>
    <row r="107" spans="1:8" x14ac:dyDescent="0.35">
      <c r="F107" s="76">
        <v>10.5</v>
      </c>
      <c r="G107" s="77">
        <v>4.9657133862455856E-2</v>
      </c>
      <c r="H107" s="78">
        <v>4.3860955063597683E-2</v>
      </c>
    </row>
    <row r="108" spans="1:8" x14ac:dyDescent="0.35">
      <c r="F108" s="76">
        <v>10.6</v>
      </c>
      <c r="G108" s="77">
        <v>4.9474025593316984E-2</v>
      </c>
      <c r="H108" s="78">
        <v>4.3698277798961155E-2</v>
      </c>
    </row>
    <row r="109" spans="1:8" x14ac:dyDescent="0.35">
      <c r="A109" s="79"/>
      <c r="B109" s="79"/>
      <c r="C109" s="79"/>
      <c r="F109" s="76">
        <v>10.7</v>
      </c>
      <c r="G109" s="77">
        <v>4.9292636676033473E-2</v>
      </c>
      <c r="H109" s="78">
        <v>4.3537142522118946E-2</v>
      </c>
    </row>
    <row r="110" spans="1:8" x14ac:dyDescent="0.35">
      <c r="F110" s="76">
        <v>10.8</v>
      </c>
      <c r="G110" s="77">
        <v>4.911293512196524E-2</v>
      </c>
      <c r="H110" s="78">
        <v>4.3377520274909459E-2</v>
      </c>
    </row>
    <row r="111" spans="1:8" x14ac:dyDescent="0.35">
      <c r="F111" s="76">
        <v>10.9</v>
      </c>
      <c r="G111" s="77">
        <v>4.8934889826976198E-2</v>
      </c>
      <c r="H111" s="78">
        <v>4.3219382907329414E-2</v>
      </c>
    </row>
    <row r="112" spans="1:8" x14ac:dyDescent="0.35">
      <c r="F112" s="76">
        <v>11</v>
      </c>
      <c r="G112" s="77">
        <v>4.8758470539122307E-2</v>
      </c>
      <c r="H112" s="78">
        <v>4.3062703047739057E-2</v>
      </c>
    </row>
    <row r="113" spans="6:8" x14ac:dyDescent="0.35">
      <c r="F113" s="76">
        <v>11.1</v>
      </c>
      <c r="G113" s="77">
        <v>4.8583647827802078E-2</v>
      </c>
      <c r="H113" s="78">
        <v>4.2907454074427628E-2</v>
      </c>
    </row>
    <row r="114" spans="6:8" x14ac:dyDescent="0.35">
      <c r="F114" s="76">
        <v>11.2</v>
      </c>
      <c r="G114" s="77">
        <v>4.8410393054290263E-2</v>
      </c>
      <c r="H114" s="78">
        <v>4.2753610088465829E-2</v>
      </c>
    </row>
    <row r="115" spans="6:8" x14ac:dyDescent="0.35">
      <c r="F115" s="76">
        <v>11.3</v>
      </c>
      <c r="G115" s="77">
        <v>4.8238678343581351E-2</v>
      </c>
      <c r="H115" s="78">
        <v>4.260114588777543E-2</v>
      </c>
    </row>
    <row r="116" spans="6:8" x14ac:dyDescent="0.35">
      <c r="F116" s="76">
        <v>11.4</v>
      </c>
      <c r="G116" s="77">
        <v>4.8068476557473441E-2</v>
      </c>
      <c r="H116" s="78">
        <v>4.2450036942351589E-2</v>
      </c>
    </row>
    <row r="117" spans="6:8" x14ac:dyDescent="0.35">
      <c r="F117" s="76">
        <v>11.5</v>
      </c>
      <c r="G117" s="77">
        <v>4.7899761268827556E-2</v>
      </c>
      <c r="H117" s="78">
        <v>4.2300259370576632E-2</v>
      </c>
    </row>
    <row r="118" spans="6:8" x14ac:dyDescent="0.35">
      <c r="F118" s="76">
        <v>11.6</v>
      </c>
      <c r="G118" s="77">
        <v>4.7732506736941238E-2</v>
      </c>
      <c r="H118" s="78">
        <v>4.2151789916568247E-2</v>
      </c>
    </row>
    <row r="119" spans="6:8" x14ac:dyDescent="0.35">
      <c r="F119" s="76">
        <v>11.7</v>
      </c>
      <c r="G119" s="77">
        <v>4.7566687883979317E-2</v>
      </c>
      <c r="H119" s="78">
        <v>4.2004605928508292E-2</v>
      </c>
    </row>
    <row r="120" spans="6:8" x14ac:dyDescent="0.35">
      <c r="F120" s="76">
        <v>11.8</v>
      </c>
      <c r="G120" s="77">
        <v>4.7402280272407345E-2</v>
      </c>
      <c r="H120" s="78">
        <v>4.1858685337901796E-2</v>
      </c>
    </row>
    <row r="121" spans="6:8" x14ac:dyDescent="0.35">
      <c r="F121" s="76">
        <v>11.9</v>
      </c>
      <c r="G121" s="77">
        <v>4.7239260083377567E-2</v>
      </c>
      <c r="H121" s="78">
        <v>4.1714006639718464E-2</v>
      </c>
    </row>
    <row r="122" spans="6:8" x14ac:dyDescent="0.35">
      <c r="F122" s="76">
        <v>12</v>
      </c>
      <c r="G122" s="77">
        <v>4.7077604096019084E-2</v>
      </c>
      <c r="H122" s="78">
        <v>4.1570548873372262E-2</v>
      </c>
    </row>
    <row r="123" spans="6:8" x14ac:dyDescent="0.35">
      <c r="F123" s="76">
        <v>12.1</v>
      </c>
      <c r="G123" s="77">
        <v>4.6917289667587327E-2</v>
      </c>
      <c r="H123" s="78">
        <v>4.1428291604496792E-2</v>
      </c>
    </row>
    <row r="124" spans="6:8" x14ac:dyDescent="0.35">
      <c r="F124" s="76">
        <v>12.2</v>
      </c>
      <c r="G124" s="77">
        <v>4.6758294714430729E-2</v>
      </c>
      <c r="H124" s="78">
        <v>4.1287214907476846E-2</v>
      </c>
    </row>
    <row r="125" spans="6:8" x14ac:dyDescent="0.35">
      <c r="F125" s="76">
        <v>12.3</v>
      </c>
      <c r="G125" s="77">
        <v>4.660059769373389E-2</v>
      </c>
      <c r="H125" s="78">
        <v>4.114729934869904E-2</v>
      </c>
    </row>
    <row r="126" spans="6:8" x14ac:dyDescent="0.35">
      <c r="F126" s="76">
        <v>12.4</v>
      </c>
      <c r="G126" s="77">
        <v>4.6444177586000349E-2</v>
      </c>
      <c r="H126" s="78">
        <v>4.1008525970485821E-2</v>
      </c>
    </row>
    <row r="127" spans="6:8" x14ac:dyDescent="0.35">
      <c r="F127" s="76">
        <v>12.5</v>
      </c>
      <c r="G127" s="77">
        <v>4.6289013878238486E-2</v>
      </c>
      <c r="H127" s="78">
        <v>4.0870876275680305E-2</v>
      </c>
    </row>
    <row r="128" spans="6:8" x14ac:dyDescent="0.35">
      <c r="F128" s="76">
        <v>12.6</v>
      </c>
      <c r="G128" s="77">
        <v>4.6135086547817665E-2</v>
      </c>
      <c r="H128" s="78">
        <v>4.0734332212849868E-2</v>
      </c>
    </row>
    <row r="129" spans="6:8" x14ac:dyDescent="0.35">
      <c r="F129" s="76">
        <v>12.7</v>
      </c>
      <c r="G129" s="77">
        <v>4.5982376046962134E-2</v>
      </c>
      <c r="H129" s="78">
        <v>4.0598876162079543E-2</v>
      </c>
    </row>
    <row r="130" spans="6:8" x14ac:dyDescent="0.35">
      <c r="F130" s="76">
        <v>12.8</v>
      </c>
      <c r="G130" s="77">
        <v>4.5830863287853491E-2</v>
      </c>
      <c r="H130" s="78">
        <v>4.046449092132668E-2</v>
      </c>
    </row>
    <row r="131" spans="6:8" x14ac:dyDescent="0.35">
      <c r="F131" s="76">
        <v>12.9</v>
      </c>
      <c r="G131" s="77">
        <v>4.568052962831233E-2</v>
      </c>
      <c r="H131" s="78">
        <v>4.0331159693311074E-2</v>
      </c>
    </row>
    <row r="132" spans="6:8" x14ac:dyDescent="0.35">
      <c r="F132" s="76">
        <v>13</v>
      </c>
      <c r="G132" s="77">
        <v>4.553135685803314E-2</v>
      </c>
      <c r="H132" s="78">
        <v>4.0198866072914848E-2</v>
      </c>
    </row>
    <row r="133" spans="6:8" x14ac:dyDescent="0.35">
      <c r="F133" s="76">
        <v>13.1</v>
      </c>
      <c r="G133" s="77">
        <v>4.5383327185346406E-2</v>
      </c>
      <c r="H133" s="78">
        <v>4.0067594035069161E-2</v>
      </c>
    </row>
    <row r="134" spans="6:8" x14ac:dyDescent="0.35">
      <c r="F134" s="76">
        <v>13.2</v>
      </c>
      <c r="G134" s="77">
        <v>4.5236423224484117E-2</v>
      </c>
      <c r="H134" s="78">
        <v>3.9937327923104837E-2</v>
      </c>
    </row>
    <row r="135" spans="6:8" x14ac:dyDescent="0.35">
      <c r="F135" s="76">
        <v>13.3</v>
      </c>
      <c r="G135" s="77">
        <v>4.5090627983325859E-2</v>
      </c>
      <c r="H135" s="78">
        <v>3.9808052437546024E-2</v>
      </c>
    </row>
    <row r="136" spans="6:8" x14ac:dyDescent="0.35">
      <c r="F136" s="76">
        <v>13.4</v>
      </c>
      <c r="G136" s="77">
        <v>4.4945924851603855E-2</v>
      </c>
      <c r="H136" s="78">
        <v>3.9679752625326754E-2</v>
      </c>
    </row>
    <row r="137" spans="6:8" x14ac:dyDescent="0.35">
      <c r="F137" s="76">
        <v>13.5</v>
      </c>
      <c r="G137" s="77">
        <v>4.4802297589546472E-2</v>
      </c>
      <c r="H137" s="78">
        <v>3.9552413869411392E-2</v>
      </c>
    </row>
    <row r="138" spans="6:8" x14ac:dyDescent="0.35">
      <c r="F138" s="76">
        <v>13.6</v>
      </c>
      <c r="G138" s="77">
        <v>4.4659730316940816E-2</v>
      </c>
      <c r="H138" s="78">
        <v>3.9426021878800899E-2</v>
      </c>
    </row>
    <row r="139" spans="6:8" x14ac:dyDescent="0.35">
      <c r="F139" s="76">
        <v>13.7</v>
      </c>
      <c r="G139" s="77">
        <v>4.4518207502595941E-2</v>
      </c>
      <c r="H139" s="78">
        <v>3.930056267890792E-2</v>
      </c>
    </row>
    <row r="140" spans="6:8" x14ac:dyDescent="0.35">
      <c r="F140" s="76">
        <v>13.8</v>
      </c>
      <c r="G140" s="77">
        <v>4.4377713954189352E-2</v>
      </c>
      <c r="H140" s="78">
        <v>3.9176022602284429E-2</v>
      </c>
    </row>
    <row r="141" spans="6:8" x14ac:dyDescent="0.35">
      <c r="F141" s="76">
        <v>13.9</v>
      </c>
      <c r="G141" s="77">
        <v>4.4238234808479895E-2</v>
      </c>
      <c r="H141" s="78">
        <v>3.9052388279686628E-2</v>
      </c>
    </row>
    <row r="142" spans="6:8" x14ac:dyDescent="0.35">
      <c r="F142" s="76">
        <v>14</v>
      </c>
      <c r="G142" s="77">
        <v>4.4099755521871495E-2</v>
      </c>
      <c r="H142" s="78">
        <v>3.8929646631462311E-2</v>
      </c>
    </row>
    <row r="143" spans="6:8" x14ac:dyDescent="0.35">
      <c r="F143" s="76">
        <v>14.1</v>
      </c>
      <c r="G143" s="77">
        <v>4.3962261861312857E-2</v>
      </c>
      <c r="H143" s="78">
        <v>3.8807784859246915E-2</v>
      </c>
    </row>
    <row r="144" spans="6:8" x14ac:dyDescent="0.35">
      <c r="F144" s="76">
        <v>14.2</v>
      </c>
      <c r="G144" s="77">
        <v>4.3825739895518523E-2</v>
      </c>
      <c r="H144" s="78">
        <v>3.8686790437955317E-2</v>
      </c>
    </row>
    <row r="145" spans="6:8" x14ac:dyDescent="0.35">
      <c r="F145" s="76">
        <v>14.3</v>
      </c>
      <c r="G145" s="77">
        <v>4.369017598649818E-2</v>
      </c>
      <c r="H145" s="78">
        <v>3.85666511080563E-2</v>
      </c>
    </row>
    <row r="146" spans="6:8" x14ac:dyDescent="0.35">
      <c r="F146" s="76">
        <v>14.4</v>
      </c>
      <c r="G146" s="77">
        <v>4.3555556781380893E-2</v>
      </c>
      <c r="H146" s="78">
        <v>3.84473548681184E-2</v>
      </c>
    </row>
    <row r="147" spans="6:8" x14ac:dyDescent="0.35">
      <c r="F147" s="76">
        <v>14.5</v>
      </c>
      <c r="G147" s="77">
        <v>4.3421869204522463E-2</v>
      </c>
      <c r="H147" s="78">
        <v>3.8328889967615187E-2</v>
      </c>
    </row>
    <row r="148" spans="6:8" x14ac:dyDescent="0.35">
      <c r="F148" s="76">
        <v>14.6</v>
      </c>
      <c r="G148" s="77">
        <v>4.3289100449883919E-2</v>
      </c>
      <c r="H148" s="78">
        <v>3.821124489997977E-2</v>
      </c>
    </row>
    <row r="149" spans="6:8" x14ac:dyDescent="0.35">
      <c r="F149" s="76">
        <v>14.7</v>
      </c>
      <c r="G149" s="77">
        <v>4.3157237973670069E-2</v>
      </c>
      <c r="H149" s="78">
        <v>3.8094408395897845E-2</v>
      </c>
    </row>
    <row r="150" spans="6:8" x14ac:dyDescent="0.35">
      <c r="F150" s="76">
        <v>14.8</v>
      </c>
      <c r="G150" s="77">
        <v>4.3026269487217716E-2</v>
      </c>
      <c r="H150" s="78">
        <v>3.7978369416829659E-2</v>
      </c>
    </row>
    <row r="151" spans="6:8" x14ac:dyDescent="0.35">
      <c r="F151" s="76">
        <v>14.9</v>
      </c>
      <c r="G151" s="77">
        <v>4.2896182950123304E-2</v>
      </c>
      <c r="H151" s="78">
        <v>3.7863117148751589E-2</v>
      </c>
    </row>
    <row r="152" spans="6:8" x14ac:dyDescent="0.35">
      <c r="F152" s="76">
        <v>15</v>
      </c>
      <c r="G152" s="77">
        <v>4.2766966563600309E-2</v>
      </c>
      <c r="H152" s="78">
        <v>3.7748640996108508E-2</v>
      </c>
    </row>
    <row r="153" spans="6:8" x14ac:dyDescent="0.35">
      <c r="F153" s="76">
        <v>15.1</v>
      </c>
      <c r="G153" s="77">
        <v>4.2638608764057527E-2</v>
      </c>
      <c r="H153" s="78">
        <v>3.763493057596827E-2</v>
      </c>
    </row>
    <row r="154" spans="6:8" x14ac:dyDescent="0.35">
      <c r="F154" s="76">
        <v>15.2</v>
      </c>
      <c r="G154" s="77">
        <v>4.2511098216889101E-2</v>
      </c>
      <c r="H154" s="78">
        <v>3.7521975712370627E-2</v>
      </c>
    </row>
    <row r="155" spans="6:8" x14ac:dyDescent="0.35">
      <c r="F155" s="76">
        <v>15.3</v>
      </c>
      <c r="G155" s="77">
        <v>4.2384423810468197E-2</v>
      </c>
      <c r="H155" s="78">
        <v>3.7409766430862412E-2</v>
      </c>
    </row>
    <row r="156" spans="6:8" x14ac:dyDescent="0.35">
      <c r="F156" s="76">
        <v>15.4</v>
      </c>
      <c r="G156" s="77">
        <v>4.2258574650336521E-2</v>
      </c>
      <c r="H156" s="78">
        <v>3.7298292953212013E-2</v>
      </c>
    </row>
    <row r="157" spans="6:8" x14ac:dyDescent="0.35">
      <c r="F157" s="76">
        <v>15.5</v>
      </c>
      <c r="G157" s="77">
        <v>4.2133540053581574E-2</v>
      </c>
      <c r="H157" s="78">
        <v>3.7187545692296139E-2</v>
      </c>
    </row>
    <row r="158" spans="6:8" x14ac:dyDescent="0.35">
      <c r="F158" s="76">
        <v>15.6</v>
      </c>
      <c r="G158" s="77">
        <v>4.2009309543394956E-2</v>
      </c>
      <c r="H158" s="78">
        <v>3.7077515247151784E-2</v>
      </c>
    </row>
    <row r="159" spans="6:8" x14ac:dyDescent="0.35">
      <c r="F159" s="76">
        <v>15.7</v>
      </c>
      <c r="G159" s="77">
        <v>4.1885872843804406E-2</v>
      </c>
      <c r="H159" s="78">
        <v>3.6968192398187563E-2</v>
      </c>
    </row>
    <row r="160" spans="6:8" x14ac:dyDescent="0.35">
      <c r="F160" s="76">
        <v>15.8</v>
      </c>
      <c r="G160" s="77">
        <v>4.1763219874573126E-2</v>
      </c>
      <c r="H160" s="78">
        <v>3.6859568102547875E-2</v>
      </c>
    </row>
    <row r="161" spans="6:8" x14ac:dyDescent="0.35">
      <c r="F161" s="76">
        <v>15.9</v>
      </c>
      <c r="G161" s="77">
        <v>4.1641340746260018E-2</v>
      </c>
      <c r="H161" s="78">
        <v>3.6751633489624354E-2</v>
      </c>
    </row>
    <row r="162" spans="6:8" x14ac:dyDescent="0.35">
      <c r="F162" s="76">
        <v>16</v>
      </c>
      <c r="G162" s="77">
        <v>4.1520225755434723E-2</v>
      </c>
      <c r="H162" s="78">
        <v>3.6644379856708813E-2</v>
      </c>
    </row>
    <row r="163" spans="6:8" x14ac:dyDescent="0.35">
      <c r="F163" s="76">
        <v>16.100000000000001</v>
      </c>
      <c r="G163" s="77">
        <v>4.1399865380041777E-2</v>
      </c>
      <c r="H163" s="78">
        <v>3.6537798664782559E-2</v>
      </c>
    </row>
    <row r="164" spans="6:8" x14ac:dyDescent="0.35">
      <c r="F164" s="76">
        <v>16.2</v>
      </c>
      <c r="G164" s="77">
        <v>4.1280250274908295E-2</v>
      </c>
      <c r="H164" s="78">
        <v>3.6431881534436765E-2</v>
      </c>
    </row>
    <row r="165" spans="6:8" x14ac:dyDescent="0.35">
      <c r="F165" s="76">
        <v>16.3</v>
      </c>
      <c r="G165" s="77">
        <v>4.1161371267389828E-2</v>
      </c>
      <c r="H165" s="78">
        <v>3.6326620241919301E-2</v>
      </c>
    </row>
    <row r="166" spans="6:8" x14ac:dyDescent="0.35">
      <c r="F166" s="76">
        <v>16.399999999999999</v>
      </c>
      <c r="G166" s="77">
        <v>4.1043219353149529E-2</v>
      </c>
      <c r="H166" s="78">
        <v>3.6222006715303047E-2</v>
      </c>
    </row>
    <row r="167" spans="6:8" x14ac:dyDescent="0.35">
      <c r="F167" s="76">
        <v>16.5</v>
      </c>
      <c r="G167" s="77">
        <v>4.0925785692065342E-2</v>
      </c>
      <c r="H167" s="78">
        <v>3.6118033030771587E-2</v>
      </c>
    </row>
    <row r="168" spans="6:8" x14ac:dyDescent="0.35">
      <c r="F168" s="76">
        <v>16.600000000000001</v>
      </c>
      <c r="G168" s="77">
        <v>4.0809061604261093E-2</v>
      </c>
      <c r="H168" s="78">
        <v>3.6014691409017502E-2</v>
      </c>
    </row>
    <row r="169" spans="6:8" x14ac:dyDescent="0.35">
      <c r="F169" s="76">
        <v>16.7</v>
      </c>
      <c r="G169" s="77">
        <v>4.069303856625673E-2</v>
      </c>
      <c r="H169" s="78">
        <v>3.5911974211749763E-2</v>
      </c>
    </row>
    <row r="170" spans="6:8" x14ac:dyDescent="0.35">
      <c r="F170" s="76">
        <v>16.8</v>
      </c>
      <c r="G170" s="77">
        <v>4.0577708207233297E-2</v>
      </c>
      <c r="H170" s="78">
        <v>3.5809873938305925E-2</v>
      </c>
    </row>
    <row r="171" spans="6:8" x14ac:dyDescent="0.35">
      <c r="F171" s="76">
        <v>16.899999999999999</v>
      </c>
      <c r="G171" s="77">
        <v>4.0463062305409019E-2</v>
      </c>
      <c r="H171" s="78">
        <v>3.5708383222365303E-2</v>
      </c>
    </row>
    <row r="172" spans="6:8" x14ac:dyDescent="0.35">
      <c r="F172" s="76">
        <v>17</v>
      </c>
      <c r="G172" s="77">
        <v>4.0349092784522034E-2</v>
      </c>
      <c r="H172" s="78">
        <v>3.5607494828759939E-2</v>
      </c>
    </row>
    <row r="173" spans="6:8" x14ac:dyDescent="0.35">
      <c r="F173" s="76">
        <v>17.100000000000001</v>
      </c>
      <c r="G173" s="77">
        <v>4.0235791710416483E-2</v>
      </c>
      <c r="H173" s="78">
        <v>3.5507201650379391E-2</v>
      </c>
    </row>
    <row r="174" spans="6:8" x14ac:dyDescent="0.35">
      <c r="F174" s="76">
        <v>17.2</v>
      </c>
      <c r="G174" s="77">
        <v>4.0123151287727976E-2</v>
      </c>
      <c r="H174" s="78">
        <v>3.5407496705166505E-2</v>
      </c>
    </row>
    <row r="175" spans="6:8" x14ac:dyDescent="0.35">
      <c r="F175" s="76">
        <v>17.3</v>
      </c>
      <c r="G175" s="77">
        <v>4.0011163856665193E-2</v>
      </c>
      <c r="H175" s="78">
        <v>3.5308373133200621E-2</v>
      </c>
    </row>
    <row r="176" spans="6:8" x14ac:dyDescent="0.35">
      <c r="F176" s="76">
        <v>17.399999999999999</v>
      </c>
      <c r="G176" s="77">
        <v>3.9899821889884279E-2</v>
      </c>
      <c r="H176" s="78">
        <v>3.5209824193865369E-2</v>
      </c>
    </row>
    <row r="177" spans="6:8" x14ac:dyDescent="0.35">
      <c r="F177" s="76">
        <v>17.5</v>
      </c>
      <c r="G177" s="77">
        <v>3.9789117989452713E-2</v>
      </c>
      <c r="H177" s="78">
        <v>3.5111843263098165E-2</v>
      </c>
    </row>
    <row r="178" spans="6:8" x14ac:dyDescent="0.35">
      <c r="F178" s="76">
        <v>17.600000000000001</v>
      </c>
      <c r="G178" s="77">
        <v>3.9679044883899749E-2</v>
      </c>
      <c r="H178" s="78">
        <v>3.5014423830718386E-2</v>
      </c>
    </row>
    <row r="179" spans="6:8" x14ac:dyDescent="0.35">
      <c r="F179" s="76">
        <v>17.7</v>
      </c>
      <c r="G179" s="77">
        <v>3.9569595425350379E-2</v>
      </c>
      <c r="H179" s="78">
        <v>3.4917559497831777E-2</v>
      </c>
    </row>
    <row r="180" spans="6:8" x14ac:dyDescent="0.35">
      <c r="F180" s="76">
        <v>17.8</v>
      </c>
      <c r="G180" s="77">
        <v>3.9460762586740021E-2</v>
      </c>
      <c r="H180" s="78">
        <v>3.4821243974308337E-2</v>
      </c>
    </row>
    <row r="181" spans="6:8" x14ac:dyDescent="0.35">
      <c r="F181" s="76">
        <v>17.899999999999999</v>
      </c>
      <c r="G181" s="77">
        <v>3.9352539459107314E-2</v>
      </c>
      <c r="H181" s="78">
        <v>3.472547107633122E-2</v>
      </c>
    </row>
    <row r="182" spans="6:8" x14ac:dyDescent="0.35">
      <c r="F182" s="76">
        <v>18</v>
      </c>
      <c r="G182" s="77">
        <v>3.9244919248962118E-2</v>
      </c>
      <c r="H182" s="78">
        <v>3.4630234724014435E-2</v>
      </c>
    </row>
    <row r="183" spans="6:8" x14ac:dyDescent="0.35">
      <c r="F183" s="76">
        <v>18.100000000000001</v>
      </c>
      <c r="G183" s="77">
        <v>3.9137895275726739E-2</v>
      </c>
      <c r="H183" s="78">
        <v>3.4535528939086665E-2</v>
      </c>
    </row>
    <row r="184" spans="6:8" x14ac:dyDescent="0.35">
      <c r="F184" s="76">
        <v>18.2</v>
      </c>
      <c r="G184" s="77">
        <v>3.9031460969247367E-2</v>
      </c>
      <c r="H184" s="78">
        <v>3.4441347842639532E-2</v>
      </c>
    </row>
    <row r="185" spans="6:8" x14ac:dyDescent="0.35">
      <c r="F185" s="76">
        <v>18.3</v>
      </c>
      <c r="G185" s="77">
        <v>3.8925609867373749E-2</v>
      </c>
      <c r="H185" s="78">
        <v>3.4347685652937686E-2</v>
      </c>
    </row>
    <row r="186" spans="6:8" x14ac:dyDescent="0.35">
      <c r="F186" s="76">
        <v>18.399999999999999</v>
      </c>
      <c r="G186" s="77">
        <v>3.8820335613605005E-2</v>
      </c>
      <c r="H186" s="78">
        <v>3.42545366832889E-2</v>
      </c>
    </row>
    <row r="187" spans="6:8" x14ac:dyDescent="0.35">
      <c r="F187" s="76">
        <v>18.5</v>
      </c>
      <c r="G187" s="77">
        <v>3.8715631954798942E-2</v>
      </c>
      <c r="H187" s="78">
        <v>3.4161895339972402E-2</v>
      </c>
    </row>
    <row r="188" spans="6:8" x14ac:dyDescent="0.35">
      <c r="F188" s="76">
        <v>18.600000000000001</v>
      </c>
      <c r="G188" s="77">
        <v>3.8611492738943376E-2</v>
      </c>
      <c r="H188" s="78">
        <v>3.4069756120223067E-2</v>
      </c>
    </row>
    <row r="189" spans="6:8" x14ac:dyDescent="0.35">
      <c r="F189" s="76">
        <v>18.7</v>
      </c>
      <c r="G189" s="77">
        <v>3.850791191298706E-2</v>
      </c>
      <c r="H189" s="78">
        <v>3.3978113610270172E-2</v>
      </c>
    </row>
    <row r="190" spans="6:8" x14ac:dyDescent="0.35">
      <c r="F190" s="76">
        <v>18.8</v>
      </c>
      <c r="G190" s="77">
        <v>3.8404883520728482E-2</v>
      </c>
      <c r="H190" s="78">
        <v>3.3886962483428616E-2</v>
      </c>
    </row>
    <row r="191" spans="6:8" x14ac:dyDescent="0.35">
      <c r="F191" s="76">
        <v>18.899999999999999</v>
      </c>
      <c r="G191" s="77">
        <v>3.8302401700760692E-2</v>
      </c>
      <c r="H191" s="78">
        <v>3.3796297498241062E-2</v>
      </c>
    </row>
    <row r="192" spans="6:8" x14ac:dyDescent="0.35">
      <c r="F192" s="76">
        <v>19</v>
      </c>
      <c r="G192" s="77">
        <v>3.8200460684470326E-2</v>
      </c>
      <c r="H192" s="78">
        <v>3.370611349666941E-2</v>
      </c>
    </row>
    <row r="193" spans="6:8" x14ac:dyDescent="0.35">
      <c r="F193" s="76">
        <v>19.100000000000001</v>
      </c>
      <c r="G193" s="77">
        <v>3.8099054794089142E-2</v>
      </c>
      <c r="H193" s="78">
        <v>3.361640540233389E-2</v>
      </c>
    </row>
    <row r="194" spans="6:8" x14ac:dyDescent="0.35">
      <c r="F194" s="76">
        <v>19.2</v>
      </c>
      <c r="G194" s="77">
        <v>3.7998178440796532E-2</v>
      </c>
      <c r="H194" s="78">
        <v>3.3527168218798448E-2</v>
      </c>
    </row>
    <row r="195" spans="6:8" x14ac:dyDescent="0.35">
      <c r="F195" s="76">
        <v>19.3</v>
      </c>
      <c r="G195" s="77">
        <v>3.7897826122871132E-2</v>
      </c>
      <c r="H195" s="78">
        <v>3.3438397027900947E-2</v>
      </c>
    </row>
    <row r="196" spans="6:8" x14ac:dyDescent="0.35">
      <c r="F196" s="76">
        <v>19.399999999999999</v>
      </c>
      <c r="G196" s="77">
        <v>3.7797992423890356E-2</v>
      </c>
      <c r="H196" s="78">
        <v>3.3350086988126595E-2</v>
      </c>
    </row>
    <row r="197" spans="6:8" x14ac:dyDescent="0.35">
      <c r="F197" s="76">
        <v>19.5</v>
      </c>
      <c r="G197" s="77">
        <v>3.7698672010976181E-2</v>
      </c>
      <c r="H197" s="78">
        <v>3.3262233333023514E-2</v>
      </c>
    </row>
    <row r="198" spans="6:8" x14ac:dyDescent="0.35">
      <c r="F198" s="76">
        <v>19.600000000000001</v>
      </c>
      <c r="G198" s="77">
        <v>3.7599859633085708E-2</v>
      </c>
      <c r="H198" s="78">
        <v>3.3174831369659041E-2</v>
      </c>
    </row>
    <row r="199" spans="6:8" x14ac:dyDescent="0.35">
      <c r="F199" s="76">
        <v>19.7</v>
      </c>
      <c r="G199" s="77">
        <v>3.7501550119345368E-2</v>
      </c>
      <c r="H199" s="78">
        <v>3.3087876477115426E-2</v>
      </c>
    </row>
    <row r="200" spans="6:8" x14ac:dyDescent="0.35">
      <c r="F200" s="76">
        <v>19.8</v>
      </c>
      <c r="G200" s="77">
        <v>3.7403738377427144E-2</v>
      </c>
      <c r="H200" s="78">
        <v>3.3001364105023925E-2</v>
      </c>
    </row>
    <row r="201" spans="6:8" x14ac:dyDescent="0.35">
      <c r="F201" s="76">
        <v>19.899999999999999</v>
      </c>
      <c r="G201" s="77">
        <v>3.7306419391965863E-2</v>
      </c>
      <c r="H201" s="78">
        <v>3.291528977213589E-2</v>
      </c>
    </row>
    <row r="202" spans="6:8" x14ac:dyDescent="0.35">
      <c r="F202" s="76">
        <v>20</v>
      </c>
      <c r="G202" s="77">
        <v>3.7209588223015948E-2</v>
      </c>
      <c r="H202" s="78">
        <v>3.282964906492996E-2</v>
      </c>
    </row>
    <row r="203" spans="6:8" x14ac:dyDescent="0.35">
      <c r="F203" s="76">
        <v>20.100000000000001</v>
      </c>
      <c r="G203" s="77">
        <v>3.7113240004546896E-2</v>
      </c>
      <c r="H203" s="78">
        <v>3.2744437636254037E-2</v>
      </c>
    </row>
    <row r="204" spans="6:8" x14ac:dyDescent="0.35">
      <c r="F204" s="76">
        <v>20.2</v>
      </c>
      <c r="G204" s="77">
        <v>3.7017369942975872E-2</v>
      </c>
      <c r="H204" s="78">
        <v>3.2659651204001272E-2</v>
      </c>
    </row>
    <row r="205" spans="6:8" x14ac:dyDescent="0.35">
      <c r="F205" s="76">
        <v>20.3</v>
      </c>
      <c r="G205" s="77">
        <v>3.6921973315736697E-2</v>
      </c>
      <c r="H205" s="78">
        <v>3.2575285549818769E-2</v>
      </c>
    </row>
    <row r="206" spans="6:8" x14ac:dyDescent="0.35">
      <c r="F206" s="76">
        <v>20.399999999999999</v>
      </c>
      <c r="G206" s="77">
        <v>3.6827045469883843E-2</v>
      </c>
      <c r="H206" s="78">
        <v>3.2491336517848295E-2</v>
      </c>
    </row>
    <row r="207" spans="6:8" x14ac:dyDescent="0.35">
      <c r="F207" s="76">
        <v>20.5</v>
      </c>
      <c r="G207" s="77">
        <v>3.6732581820730754E-2</v>
      </c>
      <c r="H207" s="78">
        <v>3.240780001349778E-2</v>
      </c>
    </row>
    <row r="208" spans="6:8" x14ac:dyDescent="0.35">
      <c r="F208" s="76">
        <v>20.6</v>
      </c>
      <c r="G208" s="77">
        <v>3.6638577850521124E-2</v>
      </c>
      <c r="H208" s="78">
        <v>3.2324672002243066E-2</v>
      </c>
    </row>
    <row r="209" spans="6:8" x14ac:dyDescent="0.35">
      <c r="F209" s="76">
        <v>20.7</v>
      </c>
      <c r="G209" s="77">
        <v>3.65450291071324E-2</v>
      </c>
      <c r="H209" s="78">
        <v>3.2241948508458587E-2</v>
      </c>
    </row>
    <row r="210" spans="6:8" x14ac:dyDescent="0.35">
      <c r="F210" s="76">
        <v>20.8</v>
      </c>
      <c r="G210" s="77">
        <v>3.6451931202810588E-2</v>
      </c>
      <c r="H210" s="78">
        <v>3.2159625614276509E-2</v>
      </c>
    </row>
    <row r="211" spans="6:8" x14ac:dyDescent="0.35">
      <c r="F211" s="76">
        <v>20.9</v>
      </c>
      <c r="G211" s="77">
        <v>3.6359279812935359E-2</v>
      </c>
      <c r="H211" s="78">
        <v>3.2077699458473316E-2</v>
      </c>
    </row>
    <row r="212" spans="6:8" x14ac:dyDescent="0.35">
      <c r="F212" s="76">
        <v>21</v>
      </c>
      <c r="G212" s="77">
        <v>3.6267070674814522E-2</v>
      </c>
      <c r="H212" s="78">
        <v>3.1996166235383115E-2</v>
      </c>
    </row>
    <row r="213" spans="6:8" x14ac:dyDescent="0.35">
      <c r="F213" s="76">
        <v>21.1</v>
      </c>
      <c r="G213" s="77">
        <v>3.6175299586507392E-2</v>
      </c>
      <c r="H213" s="78">
        <v>3.1915022193836781E-2</v>
      </c>
    </row>
    <row r="214" spans="6:8" x14ac:dyDescent="0.35">
      <c r="F214" s="76">
        <v>21.2</v>
      </c>
      <c r="G214" s="77">
        <v>3.6083962405675657E-2</v>
      </c>
      <c r="H214" s="78">
        <v>3.1834263636126507E-2</v>
      </c>
    </row>
    <row r="215" spans="6:8" x14ac:dyDescent="0.35">
      <c r="F215" s="76">
        <v>21.3</v>
      </c>
      <c r="G215" s="77">
        <v>3.5993055048461557E-2</v>
      </c>
      <c r="H215" s="78">
        <v>3.1753886916994579E-2</v>
      </c>
    </row>
    <row r="216" spans="6:8" x14ac:dyDescent="0.35">
      <c r="F216" s="76">
        <v>21.4</v>
      </c>
      <c r="G216" s="77">
        <v>3.5902573488392146E-2</v>
      </c>
      <c r="H216" s="78">
        <v>3.1673888442646174E-2</v>
      </c>
    </row>
    <row r="217" spans="6:8" x14ac:dyDescent="0.35">
      <c r="F217" s="76">
        <v>21.5</v>
      </c>
      <c r="G217" s="77">
        <v>3.5812513755309208E-2</v>
      </c>
      <c r="H217" s="78">
        <v>3.1594264669785092E-2</v>
      </c>
    </row>
    <row r="218" spans="6:8" x14ac:dyDescent="0.35">
      <c r="F218" s="76">
        <v>21.6</v>
      </c>
      <c r="G218" s="77">
        <v>3.572287193432392E-2</v>
      </c>
      <c r="H218" s="78">
        <v>3.1515012104672106E-2</v>
      </c>
    </row>
    <row r="219" spans="6:8" x14ac:dyDescent="0.35">
      <c r="F219" s="76">
        <v>21.7</v>
      </c>
      <c r="G219" s="77">
        <v>3.5633644164795801E-2</v>
      </c>
      <c r="H219" s="78">
        <v>3.1436127302205047E-2</v>
      </c>
    </row>
    <row r="220" spans="6:8" x14ac:dyDescent="0.35">
      <c r="F220" s="76">
        <v>21.8</v>
      </c>
      <c r="G220" s="77">
        <v>3.5544826639334864E-2</v>
      </c>
      <c r="H220" s="78">
        <v>3.1357606865020309E-2</v>
      </c>
    </row>
    <row r="221" spans="6:8" x14ac:dyDescent="0.35">
      <c r="F221" s="76">
        <v>21.9</v>
      </c>
      <c r="G221" s="77">
        <v>3.5456415602826953E-2</v>
      </c>
      <c r="H221" s="78">
        <v>3.1279447442614683E-2</v>
      </c>
    </row>
    <row r="222" spans="6:8" x14ac:dyDescent="0.35">
      <c r="F222" s="76">
        <v>22</v>
      </c>
      <c r="G222" s="77">
        <v>3.5368407351480974E-2</v>
      </c>
      <c r="H222" s="78">
        <v>3.1201645730487719E-2</v>
      </c>
    </row>
    <row r="223" spans="6:8" x14ac:dyDescent="0.35">
      <c r="F223" s="76">
        <v>22.1</v>
      </c>
      <c r="G223" s="77">
        <v>3.5280798231897906E-2</v>
      </c>
      <c r="H223" s="78">
        <v>3.1124198469303258E-2</v>
      </c>
    </row>
    <row r="224" spans="6:8" x14ac:dyDescent="0.35">
      <c r="F224" s="76">
        <v>22.2</v>
      </c>
      <c r="G224" s="77">
        <v>3.5193584640160751E-2</v>
      </c>
      <c r="H224" s="78">
        <v>3.1047102444070156E-2</v>
      </c>
    </row>
    <row r="225" spans="6:8" x14ac:dyDescent="0.35">
      <c r="F225" s="76">
        <v>22.3</v>
      </c>
      <c r="G225" s="77">
        <v>3.5106763020945002E-2</v>
      </c>
      <c r="H225" s="78">
        <v>3.0970354483341459E-2</v>
      </c>
    </row>
    <row r="226" spans="6:8" x14ac:dyDescent="0.35">
      <c r="F226" s="76">
        <v>22.4</v>
      </c>
      <c r="G226" s="77">
        <v>3.5020329866648943E-2</v>
      </c>
      <c r="H226" s="78">
        <v>3.0893951458431601E-2</v>
      </c>
    </row>
    <row r="227" spans="6:8" x14ac:dyDescent="0.35">
      <c r="F227" s="76">
        <v>22.5</v>
      </c>
      <c r="G227" s="77">
        <v>3.493428171654335E-2</v>
      </c>
      <c r="H227" s="78">
        <v>3.081789028265107E-2</v>
      </c>
    </row>
    <row r="228" spans="6:8" x14ac:dyDescent="0.35">
      <c r="F228" s="76">
        <v>22.6</v>
      </c>
      <c r="G228" s="77">
        <v>3.4848615155940038E-2</v>
      </c>
      <c r="H228" s="78">
        <v>3.0742167910558147E-2</v>
      </c>
    </row>
    <row r="229" spans="6:8" x14ac:dyDescent="0.35">
      <c r="F229" s="76">
        <v>22.7</v>
      </c>
      <c r="G229" s="77">
        <v>3.4763326815378789E-2</v>
      </c>
      <c r="H229" s="78">
        <v>3.0666781337227233E-2</v>
      </c>
    </row>
    <row r="230" spans="6:8" x14ac:dyDescent="0.35">
      <c r="F230" s="76">
        <v>22.8</v>
      </c>
      <c r="G230" s="77">
        <v>3.4678413369832121E-2</v>
      </c>
      <c r="H230" s="78">
        <v>3.0591727597533334E-2</v>
      </c>
    </row>
    <row r="231" spans="6:8" x14ac:dyDescent="0.35">
      <c r="F231" s="76">
        <v>22.9</v>
      </c>
      <c r="G231" s="77">
        <v>3.4593871537927458E-2</v>
      </c>
      <c r="H231" s="78">
        <v>3.0517003765452268E-2</v>
      </c>
    </row>
    <row r="232" spans="6:8" x14ac:dyDescent="0.35">
      <c r="F232" s="76">
        <v>23</v>
      </c>
      <c r="G232" s="77">
        <v>3.450969808118623E-2</v>
      </c>
      <c r="H232" s="78">
        <v>3.0442606953376163E-2</v>
      </c>
    </row>
    <row r="233" spans="6:8" x14ac:dyDescent="0.35">
      <c r="F233" s="76">
        <v>23.1</v>
      </c>
      <c r="G233" s="77">
        <v>3.4425889803279555E-2</v>
      </c>
      <c r="H233" s="78">
        <v>3.0368534311443884E-2</v>
      </c>
    </row>
    <row r="234" spans="6:8" x14ac:dyDescent="0.35">
      <c r="F234" s="76">
        <v>23.2</v>
      </c>
      <c r="G234" s="77">
        <v>3.4342443549299918E-2</v>
      </c>
      <c r="H234" s="78">
        <v>3.029478302688601E-2</v>
      </c>
    </row>
    <row r="235" spans="6:8" x14ac:dyDescent="0.35">
      <c r="F235" s="76">
        <v>23.3</v>
      </c>
      <c r="G235" s="77">
        <v>3.4259356205048545E-2</v>
      </c>
      <c r="H235" s="78">
        <v>3.0221350323383928E-2</v>
      </c>
    </row>
    <row r="236" spans="6:8" x14ac:dyDescent="0.35">
      <c r="F236" s="76">
        <v>23.4</v>
      </c>
      <c r="G236" s="77">
        <v>3.417662469633799E-2</v>
      </c>
      <c r="H236" s="78">
        <v>3.0148233460442719E-2</v>
      </c>
    </row>
    <row r="237" spans="6:8" x14ac:dyDescent="0.35">
      <c r="F237" s="76">
        <v>23.5</v>
      </c>
      <c r="G237" s="77">
        <v>3.4094245988309707E-2</v>
      </c>
      <c r="H237" s="78">
        <v>3.007542973277743E-2</v>
      </c>
    </row>
    <row r="238" spans="6:8" x14ac:dyDescent="0.35">
      <c r="F238" s="76">
        <v>23.6</v>
      </c>
      <c r="G238" s="77">
        <v>3.4012217084766025E-2</v>
      </c>
      <c r="H238" s="78">
        <v>3.0002936469712544E-2</v>
      </c>
    </row>
    <row r="239" spans="6:8" x14ac:dyDescent="0.35">
      <c r="F239" s="76">
        <v>23.7</v>
      </c>
      <c r="G239" s="77">
        <v>3.3930535027516168E-2</v>
      </c>
      <c r="H239" s="78">
        <v>2.99307510345941E-2</v>
      </c>
    </row>
    <row r="240" spans="6:8" x14ac:dyDescent="0.35">
      <c r="F240" s="76">
        <v>23.8</v>
      </c>
      <c r="G240" s="77">
        <v>3.3849196895736254E-2</v>
      </c>
      <c r="H240" s="78">
        <v>2.9858870824214227E-2</v>
      </c>
    </row>
    <row r="241" spans="6:8" x14ac:dyDescent="0.35">
      <c r="F241" s="76">
        <v>23.9</v>
      </c>
      <c r="G241" s="77">
        <v>3.3768199805342521E-2</v>
      </c>
      <c r="H241" s="78">
        <v>2.9787293268247902E-2</v>
      </c>
    </row>
    <row r="242" spans="6:8" x14ac:dyDescent="0.35">
      <c r="F242" s="76">
        <v>24</v>
      </c>
      <c r="G242" s="77">
        <v>3.3687540908377764E-2</v>
      </c>
      <c r="H242" s="78">
        <v>2.9716015828701418E-2</v>
      </c>
    </row>
    <row r="243" spans="6:8" x14ac:dyDescent="0.35">
      <c r="F243" s="76">
        <v>24.1</v>
      </c>
      <c r="G243" s="77">
        <v>3.360721739241037E-2</v>
      </c>
      <c r="H243" s="78">
        <v>2.9645035999372432E-2</v>
      </c>
    </row>
    <row r="244" spans="6:8" x14ac:dyDescent="0.35">
      <c r="F244" s="76">
        <v>24.2</v>
      </c>
      <c r="G244" s="77">
        <v>3.3527226479946007E-2</v>
      </c>
      <c r="H244" s="78">
        <v>2.9574351305321125E-2</v>
      </c>
    </row>
    <row r="245" spans="6:8" x14ac:dyDescent="0.35">
      <c r="F245" s="76">
        <v>24.3</v>
      </c>
      <c r="G245" s="77">
        <v>3.3447565427851315E-2</v>
      </c>
      <c r="H245" s="78">
        <v>2.9503959302352487E-2</v>
      </c>
    </row>
    <row r="246" spans="6:8" x14ac:dyDescent="0.35">
      <c r="F246" s="76">
        <v>24.4</v>
      </c>
      <c r="G246" s="77">
        <v>3.3368231526789388E-2</v>
      </c>
      <c r="H246" s="78">
        <v>2.9433857576509157E-2</v>
      </c>
    </row>
    <row r="247" spans="6:8" x14ac:dyDescent="0.35">
      <c r="F247" s="76">
        <v>24.5</v>
      </c>
      <c r="G247" s="77">
        <v>3.3289222100666933E-2</v>
      </c>
      <c r="H247" s="78">
        <v>2.9364043743574663E-2</v>
      </c>
    </row>
    <row r="248" spans="6:8" x14ac:dyDescent="0.35">
      <c r="F248" s="76">
        <v>24.6</v>
      </c>
      <c r="G248" s="77">
        <v>3.3210534506092571E-2</v>
      </c>
      <c r="H248" s="78">
        <v>2.92945154485869E-2</v>
      </c>
    </row>
    <row r="249" spans="6:8" x14ac:dyDescent="0.35">
      <c r="F249" s="76">
        <v>24.7</v>
      </c>
      <c r="G249" s="77">
        <v>3.3132166131846184E-2</v>
      </c>
      <c r="H249" s="78">
        <v>2.9225270365361461E-2</v>
      </c>
    </row>
    <row r="250" spans="6:8" x14ac:dyDescent="0.35">
      <c r="F250" s="76">
        <v>24.8</v>
      </c>
      <c r="G250" s="77">
        <v>3.3054114398359022E-2</v>
      </c>
      <c r="H250" s="78">
        <v>2.9156306196024641E-2</v>
      </c>
    </row>
    <row r="251" spans="6:8" x14ac:dyDescent="0.35">
      <c r="F251" s="76">
        <v>24.9</v>
      </c>
      <c r="G251" s="77">
        <v>3.2976376757204134E-2</v>
      </c>
      <c r="H251" s="78">
        <v>2.9087620670555939E-2</v>
      </c>
    </row>
    <row r="252" spans="6:8" x14ac:dyDescent="0.35">
      <c r="F252" s="76">
        <v>25</v>
      </c>
      <c r="G252" s="77">
        <v>3.2898950690597173E-2</v>
      </c>
      <c r="H252" s="78">
        <v>2.901921154633964E-2</v>
      </c>
    </row>
    <row r="253" spans="6:8" x14ac:dyDescent="0.35">
      <c r="F253" s="76">
        <v>25.1</v>
      </c>
      <c r="G253" s="77">
        <v>3.2821833710907036E-2</v>
      </c>
      <c r="H253" s="78">
        <v>2.8951076607725511E-2</v>
      </c>
    </row>
    <row r="254" spans="6:8" x14ac:dyDescent="0.35">
      <c r="F254" s="76">
        <v>25.2</v>
      </c>
      <c r="G254" s="77">
        <v>3.2745023360176345E-2</v>
      </c>
      <c r="H254" s="78">
        <v>2.8883213665598192E-2</v>
      </c>
    </row>
    <row r="255" spans="6:8" x14ac:dyDescent="0.35">
      <c r="F255" s="76">
        <v>25.3</v>
      </c>
      <c r="G255" s="77">
        <v>3.2668517209651263E-2</v>
      </c>
      <c r="H255" s="78">
        <v>2.8815620556955183E-2</v>
      </c>
    </row>
    <row r="256" spans="6:8" x14ac:dyDescent="0.35">
      <c r="F256" s="76">
        <v>25.4</v>
      </c>
      <c r="G256" s="77">
        <v>3.2592312859320828E-2</v>
      </c>
      <c r="H256" s="78">
        <v>2.8748295144493112E-2</v>
      </c>
    </row>
    <row r="257" spans="6:8" x14ac:dyDescent="0.35">
      <c r="F257" s="76">
        <v>25.5</v>
      </c>
      <c r="G257" s="77">
        <v>3.2516407937465075E-2</v>
      </c>
      <c r="H257" s="78">
        <v>2.8681235316202328E-2</v>
      </c>
    </row>
    <row r="258" spans="6:8" x14ac:dyDescent="0.35">
      <c r="F258" s="76">
        <v>25.6</v>
      </c>
      <c r="G258" s="77">
        <v>3.2440800100212171E-2</v>
      </c>
      <c r="H258" s="78">
        <v>2.8614438984969265E-2</v>
      </c>
    </row>
    <row r="259" spans="6:8" x14ac:dyDescent="0.35">
      <c r="F259" s="76">
        <v>25.7</v>
      </c>
      <c r="G259" s="77">
        <v>3.2365487031104145E-2</v>
      </c>
      <c r="H259" s="78">
        <v>2.854790408818671E-2</v>
      </c>
    </row>
    <row r="260" spans="6:8" x14ac:dyDescent="0.35">
      <c r="F260" s="76">
        <v>25.8</v>
      </c>
      <c r="G260" s="77">
        <v>3.2290466440671003E-2</v>
      </c>
      <c r="H260" s="78">
        <v>2.848162858737165E-2</v>
      </c>
    </row>
    <row r="261" spans="6:8" x14ac:dyDescent="0.35">
      <c r="F261" s="76">
        <v>25.9</v>
      </c>
      <c r="G261" s="77">
        <v>3.2215736066013169E-2</v>
      </c>
      <c r="H261" s="78">
        <v>2.8415610467790484E-2</v>
      </c>
    </row>
    <row r="262" spans="6:8" x14ac:dyDescent="0.35">
      <c r="F262" s="76">
        <v>26</v>
      </c>
      <c r="G262" s="77">
        <v>3.214129367039182E-2</v>
      </c>
      <c r="H262" s="78">
        <v>2.8349847738091589E-2</v>
      </c>
    </row>
    <row r="263" spans="6:8" x14ac:dyDescent="0.35">
      <c r="F263" s="76">
        <v>26.1</v>
      </c>
      <c r="G263" s="77">
        <v>3.2067137042827321E-2</v>
      </c>
      <c r="H263" s="78">
        <v>2.8284338429944801E-2</v>
      </c>
    </row>
    <row r="264" spans="6:8" x14ac:dyDescent="0.35">
      <c r="F264" s="76">
        <v>26.2</v>
      </c>
      <c r="G264" s="77">
        <v>3.1993263997705079E-2</v>
      </c>
      <c r="H264" s="78">
        <v>2.8219080597688042E-2</v>
      </c>
    </row>
    <row r="265" spans="6:8" x14ac:dyDescent="0.35">
      <c r="F265" s="76">
        <v>26.3</v>
      </c>
      <c r="G265" s="77">
        <v>3.1919672374389106E-2</v>
      </c>
      <c r="H265" s="78">
        <v>2.8154072317980471E-2</v>
      </c>
    </row>
    <row r="266" spans="6:8" x14ac:dyDescent="0.35">
      <c r="F266" s="76">
        <v>26.4</v>
      </c>
      <c r="G266" s="77">
        <v>3.184636003684279E-2</v>
      </c>
      <c r="H266" s="78">
        <v>2.8089311689462413E-2</v>
      </c>
    </row>
    <row r="267" spans="6:8" x14ac:dyDescent="0.35">
      <c r="F267" s="76">
        <v>26.5</v>
      </c>
      <c r="G267" s="77">
        <v>3.1773324873256882E-2</v>
      </c>
      <c r="H267" s="78">
        <v>2.8024796832421654E-2</v>
      </c>
    </row>
    <row r="268" spans="6:8" x14ac:dyDescent="0.35">
      <c r="F268" s="76">
        <v>26.6</v>
      </c>
      <c r="G268" s="77">
        <v>3.1700564795684533E-2</v>
      </c>
      <c r="H268" s="78">
        <v>2.7960525888466058E-2</v>
      </c>
    </row>
    <row r="269" spans="6:8" x14ac:dyDescent="0.35">
      <c r="F269" s="76">
        <v>26.7</v>
      </c>
      <c r="G269" s="77">
        <v>3.1628077739683062E-2</v>
      </c>
      <c r="H269" s="78">
        <v>2.7896497020202388E-2</v>
      </c>
    </row>
    <row r="270" spans="6:8" x14ac:dyDescent="0.35">
      <c r="F270" s="76">
        <v>26.8</v>
      </c>
      <c r="G270" s="77">
        <v>3.1555861663962535E-2</v>
      </c>
      <c r="H270" s="78">
        <v>2.7832708410921093E-2</v>
      </c>
    </row>
    <row r="271" spans="6:8" x14ac:dyDescent="0.35">
      <c r="F271" s="76">
        <v>26.9</v>
      </c>
      <c r="G271" s="77">
        <v>3.1483914550040841E-2</v>
      </c>
      <c r="H271" s="78">
        <v>2.7769158264287032E-2</v>
      </c>
    </row>
    <row r="272" spans="6:8" x14ac:dyDescent="0.35">
      <c r="F272" s="76">
        <v>27</v>
      </c>
      <c r="G272" s="77">
        <v>3.1412234401905145E-2</v>
      </c>
      <c r="H272" s="78">
        <v>2.7705844804035939E-2</v>
      </c>
    </row>
    <row r="273" spans="6:8" x14ac:dyDescent="0.35">
      <c r="F273" s="76">
        <v>27.1</v>
      </c>
      <c r="G273" s="77">
        <v>3.134081924567967E-2</v>
      </c>
      <c r="H273" s="78">
        <v>2.7642766273676529E-2</v>
      </c>
    </row>
    <row r="274" spans="6:8" x14ac:dyDescent="0.35">
      <c r="F274" s="76">
        <v>27.2</v>
      </c>
      <c r="G274" s="77">
        <v>3.1269667129299489E-2</v>
      </c>
      <c r="H274" s="78">
        <v>2.7579920936198109E-2</v>
      </c>
    </row>
    <row r="275" spans="6:8" x14ac:dyDescent="0.35">
      <c r="F275" s="76">
        <v>27.3</v>
      </c>
      <c r="G275" s="77">
        <v>3.1198776122190394E-2</v>
      </c>
      <c r="H275" s="78">
        <v>2.751730707378355E-2</v>
      </c>
    </row>
    <row r="276" spans="6:8" x14ac:dyDescent="0.35">
      <c r="F276" s="76">
        <v>27.4</v>
      </c>
      <c r="G276" s="77">
        <v>3.1128144314954621E-2</v>
      </c>
      <c r="H276" s="78">
        <v>2.7454922987527546E-2</v>
      </c>
    </row>
    <row r="277" spans="6:8" x14ac:dyDescent="0.35">
      <c r="F277" s="76">
        <v>27.5</v>
      </c>
      <c r="G277" s="77">
        <v>3.1057769819062199E-2</v>
      </c>
      <c r="H277" s="78">
        <v>2.7392766997160065E-2</v>
      </c>
    </row>
    <row r="278" spans="6:8" x14ac:dyDescent="0.35">
      <c r="F278" s="76">
        <v>27.6</v>
      </c>
      <c r="G278" s="77">
        <v>3.0987650766548032E-2</v>
      </c>
      <c r="H278" s="78">
        <v>2.7330837440774736E-2</v>
      </c>
    </row>
    <row r="279" spans="6:8" x14ac:dyDescent="0.35">
      <c r="F279" s="76">
        <v>27.7</v>
      </c>
      <c r="G279" s="77">
        <v>3.0917785309714355E-2</v>
      </c>
      <c r="H279" s="78">
        <v>2.7269132674562269E-2</v>
      </c>
    </row>
    <row r="280" spans="6:8" x14ac:dyDescent="0.35">
      <c r="F280" s="76">
        <v>27.8</v>
      </c>
      <c r="G280" s="77">
        <v>3.0848171620838569E-2</v>
      </c>
      <c r="H280" s="78">
        <v>2.7207651072548633E-2</v>
      </c>
    </row>
    <row r="281" spans="6:8" x14ac:dyDescent="0.35">
      <c r="F281" s="76">
        <v>27.9</v>
      </c>
      <c r="G281" s="77">
        <v>3.0778807891886421E-2</v>
      </c>
      <c r="H281" s="78">
        <v>2.7146391026337941E-2</v>
      </c>
    </row>
    <row r="282" spans="6:8" x14ac:dyDescent="0.35">
      <c r="F282" s="76">
        <v>28</v>
      </c>
      <c r="G282" s="77">
        <v>3.0709692334230172E-2</v>
      </c>
      <c r="H282" s="78">
        <v>2.7085350944860049E-2</v>
      </c>
    </row>
    <row r="283" spans="6:8" x14ac:dyDescent="0.35">
      <c r="F283" s="76">
        <v>28.1</v>
      </c>
      <c r="G283" s="77">
        <v>3.0640823178371863E-2</v>
      </c>
      <c r="H283" s="78">
        <v>2.7024529254122551E-2</v>
      </c>
    </row>
    <row r="284" spans="6:8" x14ac:dyDescent="0.35">
      <c r="F284" s="76">
        <v>28.2</v>
      </c>
      <c r="G284" s="77">
        <v>3.057219867367152E-2</v>
      </c>
      <c r="H284" s="78">
        <v>2.6963924396967241E-2</v>
      </c>
    </row>
    <row r="285" spans="6:8" x14ac:dyDescent="0.35">
      <c r="F285" s="76">
        <v>28.3</v>
      </c>
      <c r="G285" s="77">
        <v>3.0503817088080108E-2</v>
      </c>
      <c r="H285" s="78">
        <v>2.6903534832830936E-2</v>
      </c>
    </row>
    <row r="286" spans="6:8" x14ac:dyDescent="0.35">
      <c r="F286" s="76">
        <v>28.4</v>
      </c>
      <c r="G286" s="77">
        <v>3.0435676707877207E-2</v>
      </c>
      <c r="H286" s="78">
        <v>2.6843359037510495E-2</v>
      </c>
    </row>
    <row r="287" spans="6:8" x14ac:dyDescent="0.35">
      <c r="F287" s="76">
        <v>28.5</v>
      </c>
      <c r="G287" s="77">
        <v>3.0367775837413354E-2</v>
      </c>
      <c r="H287" s="78">
        <v>2.6783395502931941E-2</v>
      </c>
    </row>
    <row r="288" spans="6:8" x14ac:dyDescent="0.35">
      <c r="F288" s="76">
        <v>28.6</v>
      </c>
      <c r="G288" s="77">
        <v>3.0300112798856853E-2</v>
      </c>
      <c r="H288" s="78">
        <v>2.672364273692375E-2</v>
      </c>
    </row>
    <row r="289" spans="6:8" x14ac:dyDescent="0.35">
      <c r="F289" s="76">
        <v>28.7</v>
      </c>
      <c r="G289" s="77">
        <v>3.0232685931944978E-2</v>
      </c>
      <c r="H289" s="78">
        <v>2.6664099262994029E-2</v>
      </c>
    </row>
    <row r="290" spans="6:8" x14ac:dyDescent="0.35">
      <c r="F290" s="76">
        <v>28.8</v>
      </c>
      <c r="G290" s="77">
        <v>3.0165493593739566E-2</v>
      </c>
      <c r="H290" s="78">
        <v>2.660476362011158E-2</v>
      </c>
    </row>
    <row r="291" spans="6:8" x14ac:dyDescent="0.35">
      <c r="F291" s="76">
        <v>28.9</v>
      </c>
      <c r="G291" s="77">
        <v>3.0098534158386796E-2</v>
      </c>
      <c r="H291" s="78">
        <v>2.6545634362490817E-2</v>
      </c>
    </row>
    <row r="292" spans="6:8" x14ac:dyDescent="0.35">
      <c r="F292" s="76">
        <v>29</v>
      </c>
      <c r="G292" s="77">
        <v>3.0031806016881143E-2</v>
      </c>
      <c r="H292" s="78">
        <v>2.6486710059380383E-2</v>
      </c>
    </row>
    <row r="293" spans="6:8" x14ac:dyDescent="0.35">
      <c r="F293" s="76">
        <v>29.1</v>
      </c>
      <c r="G293" s="77">
        <v>2.996530757683339E-2</v>
      </c>
      <c r="H293" s="78">
        <v>2.6427989294855406E-2</v>
      </c>
    </row>
    <row r="294" spans="6:8" x14ac:dyDescent="0.35">
      <c r="F294" s="76">
        <v>29.2</v>
      </c>
      <c r="G294" s="77">
        <v>2.9899037262242606E-2</v>
      </c>
      <c r="H294" s="78">
        <v>2.6369470667613384E-2</v>
      </c>
    </row>
    <row r="295" spans="6:8" x14ac:dyDescent="0.35">
      <c r="F295" s="76">
        <v>29.3</v>
      </c>
      <c r="G295" s="77">
        <v>2.9832993513272007E-2</v>
      </c>
      <c r="H295" s="78">
        <v>2.6311152790773493E-2</v>
      </c>
    </row>
    <row r="296" spans="6:8" x14ac:dyDescent="0.35">
      <c r="F296" s="76">
        <v>29.4</v>
      </c>
      <c r="G296" s="77">
        <v>2.9767174786028746E-2</v>
      </c>
      <c r="H296" s="78">
        <v>2.6253034291679366E-2</v>
      </c>
    </row>
    <row r="297" spans="6:8" x14ac:dyDescent="0.35">
      <c r="F297" s="76">
        <v>29.5</v>
      </c>
      <c r="G297" s="77">
        <v>2.970157955234724E-2</v>
      </c>
      <c r="H297" s="78">
        <v>2.6195113811705296E-2</v>
      </c>
    </row>
    <row r="298" spans="6:8" x14ac:dyDescent="0.35">
      <c r="F298" s="76">
        <v>29.6</v>
      </c>
      <c r="G298" s="77">
        <v>2.9636206299576397E-2</v>
      </c>
      <c r="H298" s="78">
        <v>2.6137390006065572E-2</v>
      </c>
    </row>
    <row r="299" spans="6:8" x14ac:dyDescent="0.35">
      <c r="F299" s="76">
        <v>29.7</v>
      </c>
      <c r="G299" s="77">
        <v>2.9571053530370185E-2</v>
      </c>
      <c r="H299" s="78">
        <v>2.6079861543627229E-2</v>
      </c>
    </row>
    <row r="300" spans="6:8" x14ac:dyDescent="0.35">
      <c r="F300" s="76">
        <v>29.8</v>
      </c>
      <c r="G300" s="77">
        <v>2.9506119762481967E-2</v>
      </c>
      <c r="H300" s="78">
        <v>2.6022527106725764E-2</v>
      </c>
    </row>
    <row r="301" spans="6:8" x14ac:dyDescent="0.35">
      <c r="F301" s="76">
        <v>29.9</v>
      </c>
      <c r="G301" s="77">
        <v>2.9441403528562098E-2</v>
      </c>
      <c r="H301" s="78">
        <v>2.5965385390984131E-2</v>
      </c>
    </row>
    <row r="302" spans="6:8" x14ac:dyDescent="0.35">
      <c r="F302" s="76">
        <v>30</v>
      </c>
      <c r="G302" s="77">
        <v>2.9376903375958989E-2</v>
      </c>
      <c r="H302" s="78">
        <v>2.5908435105134648E-2</v>
      </c>
    </row>
    <row r="303" spans="6:8" x14ac:dyDescent="0.35">
      <c r="F303" s="76">
        <v>30.1</v>
      </c>
      <c r="G303" s="77">
        <v>2.9312617866523418E-2</v>
      </c>
      <c r="H303" s="78">
        <v>2.585167497084391E-2</v>
      </c>
    </row>
    <row r="304" spans="6:8" x14ac:dyDescent="0.35">
      <c r="F304" s="76">
        <v>30.2</v>
      </c>
      <c r="G304" s="77">
        <v>2.9248545576416207E-2</v>
      </c>
      <c r="H304" s="78">
        <v>2.5795103722540607E-2</v>
      </c>
    </row>
    <row r="305" spans="6:8" x14ac:dyDescent="0.35">
      <c r="F305" s="76">
        <v>30.3</v>
      </c>
      <c r="G305" s="77">
        <v>2.9184685095918921E-2</v>
      </c>
      <c r="H305" s="78">
        <v>2.5738720107246264E-2</v>
      </c>
    </row>
    <row r="306" spans="6:8" x14ac:dyDescent="0.35">
      <c r="F306" s="76">
        <v>30.4</v>
      </c>
      <c r="G306" s="77">
        <v>2.9121035029247774E-2</v>
      </c>
      <c r="H306" s="78">
        <v>2.568252288440865E-2</v>
      </c>
    </row>
    <row r="307" spans="6:8" x14ac:dyDescent="0.35">
      <c r="F307" s="76">
        <v>30.5</v>
      </c>
      <c r="G307" s="77">
        <v>2.905759399437062E-2</v>
      </c>
      <c r="H307" s="78">
        <v>2.5626510825738042E-2</v>
      </c>
    </row>
    <row r="308" spans="6:8" x14ac:dyDescent="0.35">
      <c r="F308" s="76">
        <v>30.6</v>
      </c>
      <c r="G308" s="77">
        <v>2.8994360622826877E-2</v>
      </c>
      <c r="H308" s="78">
        <v>2.5570682715046145E-2</v>
      </c>
    </row>
    <row r="309" spans="6:8" x14ac:dyDescent="0.35">
      <c r="F309" s="76">
        <v>30.7</v>
      </c>
      <c r="G309" s="77">
        <v>2.8931333559550396E-2</v>
      </c>
      <c r="H309" s="78">
        <v>2.5515037348087653E-2</v>
      </c>
    </row>
    <row r="310" spans="6:8" x14ac:dyDescent="0.35">
      <c r="F310" s="76">
        <v>30.8</v>
      </c>
      <c r="G310" s="77">
        <v>2.8868511462695194E-2</v>
      </c>
      <c r="H310" s="78">
        <v>2.5459573532404349E-2</v>
      </c>
    </row>
    <row r="311" spans="6:8" x14ac:dyDescent="0.35">
      <c r="F311" s="76">
        <v>30.9</v>
      </c>
      <c r="G311" s="77">
        <v>2.8805893003464159E-2</v>
      </c>
      <c r="H311" s="78">
        <v>2.5404290087171769E-2</v>
      </c>
    </row>
    <row r="312" spans="6:8" x14ac:dyDescent="0.35">
      <c r="F312" s="76">
        <v>31</v>
      </c>
      <c r="G312" s="77">
        <v>2.8743476865940254E-2</v>
      </c>
      <c r="H312" s="78">
        <v>2.5349185843048461E-2</v>
      </c>
    </row>
    <row r="313" spans="6:8" x14ac:dyDescent="0.35">
      <c r="F313" s="76">
        <v>31.1</v>
      </c>
      <c r="G313" s="77">
        <v>2.8681261746920685E-2</v>
      </c>
      <c r="H313" s="78">
        <v>2.5294259642027424E-2</v>
      </c>
    </row>
    <row r="314" spans="6:8" x14ac:dyDescent="0.35">
      <c r="F314" s="76">
        <v>31.2</v>
      </c>
      <c r="G314" s="77">
        <v>2.8619246355753629E-2</v>
      </c>
      <c r="H314" s="78">
        <v>2.5239510337290202E-2</v>
      </c>
    </row>
    <row r="315" spans="6:8" x14ac:dyDescent="0.35">
      <c r="F315" s="76">
        <v>31.3</v>
      </c>
      <c r="G315" s="77">
        <v>2.8557429414177535E-2</v>
      </c>
      <c r="H315" s="78">
        <v>2.5184936793063193E-2</v>
      </c>
    </row>
    <row r="316" spans="6:8" x14ac:dyDescent="0.35">
      <c r="F316" s="76">
        <v>31.4</v>
      </c>
      <c r="G316" s="77">
        <v>2.8495809656163083E-2</v>
      </c>
      <c r="H316" s="78">
        <v>2.513053788447623E-2</v>
      </c>
    </row>
    <row r="317" spans="6:8" x14ac:dyDescent="0.35">
      <c r="F317" s="76">
        <v>31.5</v>
      </c>
      <c r="G317" s="77">
        <v>2.8434385827757563E-2</v>
      </c>
      <c r="H317" s="78">
        <v>2.5076312497423512E-2</v>
      </c>
    </row>
    <row r="318" spans="6:8" x14ac:dyDescent="0.35">
      <c r="F318" s="76">
        <v>31.6</v>
      </c>
      <c r="G318" s="77">
        <v>2.8373156686931803E-2</v>
      </c>
      <c r="H318" s="78">
        <v>2.5022259528426655E-2</v>
      </c>
    </row>
    <row r="319" spans="6:8" x14ac:dyDescent="0.35">
      <c r="F319" s="76">
        <v>31.7</v>
      </c>
      <c r="G319" s="77">
        <v>2.8312121003429468E-2</v>
      </c>
      <c r="H319" s="78">
        <v>2.4968377884499987E-2</v>
      </c>
    </row>
    <row r="320" spans="6:8" x14ac:dyDescent="0.35">
      <c r="F320" s="76">
        <v>31.8</v>
      </c>
      <c r="G320" s="77">
        <v>2.8251277558618709E-2</v>
      </c>
      <c r="H320" s="78">
        <v>2.4914666483017933E-2</v>
      </c>
    </row>
    <row r="321" spans="6:8" x14ac:dyDescent="0.35">
      <c r="F321" s="76">
        <v>31.9</v>
      </c>
      <c r="G321" s="77">
        <v>2.819062514534618E-2</v>
      </c>
      <c r="H321" s="78">
        <v>2.4861124251584463E-2</v>
      </c>
    </row>
    <row r="322" spans="6:8" x14ac:dyDescent="0.35">
      <c r="F322" s="76">
        <v>32</v>
      </c>
      <c r="G322" s="77">
        <v>2.8130162567793399E-2</v>
      </c>
      <c r="H322" s="78">
        <v>2.4807750127904638E-2</v>
      </c>
    </row>
    <row r="323" spans="6:8" x14ac:dyDescent="0.35">
      <c r="F323" s="76">
        <v>32.1</v>
      </c>
      <c r="G323" s="77">
        <v>2.8069888641335184E-2</v>
      </c>
      <c r="H323" s="78">
        <v>2.4754543059658192E-2</v>
      </c>
    </row>
    <row r="324" spans="6:8" x14ac:dyDescent="0.35">
      <c r="F324" s="76">
        <v>32.200000000000003</v>
      </c>
      <c r="G324" s="77">
        <v>2.8009802192400454E-2</v>
      </c>
      <c r="H324" s="78">
        <v>2.4701502004374962E-2</v>
      </c>
    </row>
    <row r="325" spans="6:8" x14ac:dyDescent="0.35">
      <c r="F325" s="76">
        <v>32.299999999999997</v>
      </c>
      <c r="G325" s="77">
        <v>2.7949902058335082E-2</v>
      </c>
      <c r="H325" s="78">
        <v>2.4648625929312398E-2</v>
      </c>
    </row>
    <row r="326" spans="6:8" x14ac:dyDescent="0.35">
      <c r="F326" s="76">
        <v>32.4</v>
      </c>
      <c r="G326" s="77">
        <v>2.7890187087266968E-2</v>
      </c>
      <c r="H326" s="78">
        <v>2.4595913811334871E-2</v>
      </c>
    </row>
    <row r="327" spans="6:8" x14ac:dyDescent="0.35">
      <c r="F327" s="76">
        <v>32.5</v>
      </c>
      <c r="G327" s="77">
        <v>2.7830656137973048E-2</v>
      </c>
      <c r="H327" s="78">
        <v>2.4543364636794931E-2</v>
      </c>
    </row>
    <row r="328" spans="6:8" x14ac:dyDescent="0.35">
      <c r="F328" s="76">
        <v>32.6</v>
      </c>
      <c r="G328" s="77">
        <v>2.7771308079748518E-2</v>
      </c>
      <c r="H328" s="78">
        <v>2.4490977401416283E-2</v>
      </c>
    </row>
    <row r="329" spans="6:8" x14ac:dyDescent="0.35">
      <c r="F329" s="76">
        <v>32.700000000000003</v>
      </c>
      <c r="G329" s="77">
        <v>2.7712141792277899E-2</v>
      </c>
      <c r="H329" s="78">
        <v>2.4438751110178698E-2</v>
      </c>
    </row>
    <row r="330" spans="6:8" x14ac:dyDescent="0.35">
      <c r="F330" s="76">
        <v>32.799999999999997</v>
      </c>
      <c r="G330" s="77">
        <v>2.7653156165508213E-2</v>
      </c>
      <c r="H330" s="78">
        <v>2.4386684777204549E-2</v>
      </c>
    </row>
    <row r="331" spans="6:8" x14ac:dyDescent="0.35">
      <c r="F331" s="76">
        <v>32.9</v>
      </c>
      <c r="G331" s="77">
        <v>2.7594350099523941E-2</v>
      </c>
      <c r="H331" s="78">
        <v>2.4334777425647228E-2</v>
      </c>
    </row>
    <row r="332" spans="6:8" x14ac:dyDescent="0.35">
      <c r="F332" s="76">
        <v>33</v>
      </c>
      <c r="G332" s="77">
        <v>2.7535722504424022E-2</v>
      </c>
      <c r="H332" s="78">
        <v>2.4283028087581069E-2</v>
      </c>
    </row>
    <row r="333" spans="6:8" x14ac:dyDescent="0.35">
      <c r="F333" s="76">
        <v>33.1</v>
      </c>
      <c r="G333" s="77">
        <v>2.7477272300200618E-2</v>
      </c>
      <c r="H333" s="78">
        <v>2.4231435803893139E-2</v>
      </c>
    </row>
    <row r="334" spans="6:8" x14ac:dyDescent="0.35">
      <c r="F334" s="76">
        <v>33.200000000000003</v>
      </c>
      <c r="G334" s="77">
        <v>2.7418998416619773E-2</v>
      </c>
      <c r="H334" s="78">
        <v>2.4179999624176544E-2</v>
      </c>
    </row>
    <row r="335" spans="6:8" x14ac:dyDescent="0.35">
      <c r="F335" s="76">
        <v>33.299999999999997</v>
      </c>
      <c r="G335" s="77">
        <v>2.7360899793103795E-2</v>
      </c>
      <c r="H335" s="78">
        <v>2.41287186066254E-2</v>
      </c>
    </row>
    <row r="336" spans="6:8" x14ac:dyDescent="0.35">
      <c r="F336" s="76">
        <v>33.399999999999899</v>
      </c>
      <c r="G336" s="77">
        <v>2.7302975378615459E-2</v>
      </c>
      <c r="H336" s="78">
        <v>2.407759181793134E-2</v>
      </c>
    </row>
    <row r="337" spans="6:8" x14ac:dyDescent="0.35">
      <c r="F337" s="76">
        <v>33.5</v>
      </c>
      <c r="G337" s="77">
        <v>2.7245224131543764E-2</v>
      </c>
      <c r="H337" s="78">
        <v>2.4026618333181603E-2</v>
      </c>
    </row>
    <row r="338" spans="6:8" x14ac:dyDescent="0.35">
      <c r="F338" s="76">
        <v>33.6</v>
      </c>
      <c r="G338" s="77">
        <v>2.7187645019591974E-2</v>
      </c>
      <c r="H338" s="78">
        <v>2.3975797235758513E-2</v>
      </c>
    </row>
    <row r="339" spans="6:8" x14ac:dyDescent="0.35">
      <c r="F339" s="76">
        <v>33.699999999999903</v>
      </c>
      <c r="G339" s="77">
        <v>2.7130237019666485E-2</v>
      </c>
      <c r="H339" s="78">
        <v>2.3925127617240936E-2</v>
      </c>
    </row>
    <row r="340" spans="6:8" x14ac:dyDescent="0.35">
      <c r="F340" s="76">
        <v>33.799999999999898</v>
      </c>
      <c r="G340" s="77">
        <v>2.7072999117767751E-2</v>
      </c>
      <c r="H340" s="78">
        <v>2.3874608577306507E-2</v>
      </c>
    </row>
    <row r="341" spans="6:8" x14ac:dyDescent="0.35">
      <c r="F341" s="76">
        <v>33.899999999999899</v>
      </c>
      <c r="G341" s="77">
        <v>2.7015930308883128E-2</v>
      </c>
      <c r="H341" s="78">
        <v>2.3824239223635621E-2</v>
      </c>
    </row>
    <row r="342" spans="6:8" x14ac:dyDescent="0.35">
      <c r="F342" s="76">
        <v>33.999999999999901</v>
      </c>
      <c r="G342" s="77">
        <v>2.6959029596880769E-2</v>
      </c>
      <c r="H342" s="78">
        <v>2.3774018671817151E-2</v>
      </c>
    </row>
    <row r="343" spans="6:8" x14ac:dyDescent="0.35">
      <c r="F343" s="76">
        <v>34.099999999999902</v>
      </c>
      <c r="G343" s="77">
        <v>2.6902295994405336E-2</v>
      </c>
      <c r="H343" s="78">
        <v>2.3723946045255077E-2</v>
      </c>
    </row>
    <row r="344" spans="6:8" x14ac:dyDescent="0.35">
      <c r="F344" s="76">
        <v>34.199999999999903</v>
      </c>
      <c r="G344" s="77">
        <v>2.6845728522775215E-2</v>
      </c>
      <c r="H344" s="78">
        <v>2.3674020475076694E-2</v>
      </c>
    </row>
    <row r="345" spans="6:8" x14ac:dyDescent="0.35">
      <c r="F345" s="76">
        <v>34.299999999999898</v>
      </c>
      <c r="G345" s="77">
        <v>2.6789326211881209E-2</v>
      </c>
      <c r="H345" s="78">
        <v>2.362424110004219E-2</v>
      </c>
    </row>
    <row r="346" spans="6:8" x14ac:dyDescent="0.35">
      <c r="F346" s="76">
        <v>34.399999999999899</v>
      </c>
      <c r="G346" s="77">
        <v>2.6733088100086708E-2</v>
      </c>
      <c r="H346" s="78">
        <v>2.3574607066455464E-2</v>
      </c>
    </row>
    <row r="347" spans="6:8" x14ac:dyDescent="0.35">
      <c r="F347" s="76">
        <v>34.499999999999901</v>
      </c>
      <c r="G347" s="77">
        <v>2.6677013234129323E-2</v>
      </c>
      <c r="H347" s="78">
        <v>2.3525117528076303E-2</v>
      </c>
    </row>
    <row r="348" spans="6:8" x14ac:dyDescent="0.35">
      <c r="F348" s="76">
        <v>34.599999999999902</v>
      </c>
      <c r="G348" s="77">
        <v>2.6621100669023935E-2</v>
      </c>
      <c r="H348" s="78">
        <v>2.3475771646033806E-2</v>
      </c>
    </row>
    <row r="349" spans="6:8" x14ac:dyDescent="0.35">
      <c r="F349" s="76">
        <v>34.699999999999903</v>
      </c>
      <c r="G349" s="77">
        <v>2.6565349467967115E-2</v>
      </c>
      <c r="H349" s="78">
        <v>2.3426568588741065E-2</v>
      </c>
    </row>
    <row r="350" spans="6:8" x14ac:dyDescent="0.35">
      <c r="F350" s="76">
        <v>34.799999999999898</v>
      </c>
      <c r="G350" s="77">
        <v>2.6509758702243008E-2</v>
      </c>
      <c r="H350" s="78">
        <v>2.3377507531811063E-2</v>
      </c>
    </row>
    <row r="351" spans="6:8" x14ac:dyDescent="0.35">
      <c r="F351" s="76">
        <v>34.899999999999899</v>
      </c>
      <c r="G351" s="77">
        <v>2.6454327451130452E-2</v>
      </c>
      <c r="H351" s="78">
        <v>2.3328587657973847E-2</v>
      </c>
    </row>
    <row r="352" spans="6:8" x14ac:dyDescent="0.35">
      <c r="F352" s="76">
        <v>34.999999999999901</v>
      </c>
      <c r="G352" s="77">
        <v>2.6399054801811456E-2</v>
      </c>
      <c r="H352" s="78">
        <v>2.3279808156994798E-2</v>
      </c>
    </row>
    <row r="353" spans="6:8" x14ac:dyDescent="0.35">
      <c r="F353" s="76">
        <v>35.099999999999902</v>
      </c>
      <c r="G353" s="77">
        <v>2.634393984928108E-2</v>
      </c>
      <c r="H353" s="78">
        <v>2.3231168225594082E-2</v>
      </c>
    </row>
    <row r="354" spans="6:8" x14ac:dyDescent="0.35">
      <c r="F354" s="76">
        <v>35.199999999999903</v>
      </c>
      <c r="G354" s="77">
        <v>2.6288981696258484E-2</v>
      </c>
      <c r="H354" s="78">
        <v>2.3182667067367352E-2</v>
      </c>
    </row>
    <row r="355" spans="6:8" x14ac:dyDescent="0.35">
      <c r="F355" s="76">
        <v>35.299999999999898</v>
      </c>
      <c r="G355" s="77">
        <v>2.6234179453099284E-2</v>
      </c>
      <c r="H355" s="78">
        <v>2.3134303892707465E-2</v>
      </c>
    </row>
    <row r="356" spans="6:8" x14ac:dyDescent="0.35">
      <c r="F356" s="76">
        <v>35.399999999999899</v>
      </c>
      <c r="G356" s="77">
        <v>2.6179532237709111E-2</v>
      </c>
      <c r="H356" s="78">
        <v>2.3086077918727368E-2</v>
      </c>
    </row>
    <row r="357" spans="6:8" x14ac:dyDescent="0.35">
      <c r="F357" s="76">
        <v>35.499999999999901</v>
      </c>
      <c r="G357" s="77">
        <v>2.6125039175458484E-2</v>
      </c>
      <c r="H357" s="78">
        <v>2.3037988369184019E-2</v>
      </c>
    </row>
    <row r="358" spans="6:8" x14ac:dyDescent="0.35">
      <c r="F358" s="76">
        <v>35.599999999999902</v>
      </c>
      <c r="G358" s="77">
        <v>2.6070699399098757E-2</v>
      </c>
      <c r="H358" s="78">
        <v>2.2990034474403467E-2</v>
      </c>
    </row>
    <row r="359" spans="6:8" x14ac:dyDescent="0.35">
      <c r="F359" s="76">
        <v>35.699999999999903</v>
      </c>
      <c r="G359" s="77">
        <v>2.6016512048679344E-2</v>
      </c>
      <c r="H359" s="78">
        <v>2.2942215471206905E-2</v>
      </c>
    </row>
    <row r="360" spans="6:8" x14ac:dyDescent="0.35">
      <c r="F360" s="76">
        <v>35.799999999999898</v>
      </c>
      <c r="G360" s="77">
        <v>2.5962476271466039E-2</v>
      </c>
      <c r="H360" s="78">
        <v>2.2894530602837821E-2</v>
      </c>
    </row>
    <row r="361" spans="6:8" x14ac:dyDescent="0.35">
      <c r="F361" s="76">
        <v>35.899999999999899</v>
      </c>
      <c r="G361" s="77">
        <v>2.5908591221860483E-2</v>
      </c>
      <c r="H361" s="78">
        <v>2.2846979118890113E-2</v>
      </c>
    </row>
    <row r="362" spans="6:8" x14ac:dyDescent="0.35">
      <c r="F362" s="76">
        <v>35.999999999999901</v>
      </c>
      <c r="G362" s="77">
        <v>2.585485606132085E-2</v>
      </c>
      <c r="H362" s="78">
        <v>2.2799560275237225E-2</v>
      </c>
    </row>
    <row r="363" spans="6:8" x14ac:dyDescent="0.35">
      <c r="F363" s="76">
        <v>36.099999999999902</v>
      </c>
      <c r="G363" s="77">
        <v>2.580126995828342E-2</v>
      </c>
      <c r="H363" s="78">
        <v>2.2752273333962347E-2</v>
      </c>
    </row>
    <row r="364" spans="6:8" x14ac:dyDescent="0.35">
      <c r="F364" s="76">
        <v>36.199999999999903</v>
      </c>
      <c r="G364" s="77">
        <v>2.5747832088085471E-2</v>
      </c>
      <c r="H364" s="78">
        <v>2.2705117563289409E-2</v>
      </c>
    </row>
    <row r="365" spans="6:8" x14ac:dyDescent="0.35">
      <c r="F365" s="76">
        <v>36.299999999999898</v>
      </c>
      <c r="G365" s="77">
        <v>2.5694541632889097E-2</v>
      </c>
      <c r="H365" s="78">
        <v>2.2658092237515214E-2</v>
      </c>
    </row>
    <row r="366" spans="6:8" x14ac:dyDescent="0.35">
      <c r="F366" s="76">
        <v>36.399999999999899</v>
      </c>
      <c r="G366" s="77">
        <v>2.5641397781606082E-2</v>
      </c>
      <c r="H366" s="78">
        <v>2.2611196636942405E-2</v>
      </c>
    </row>
    <row r="367" spans="6:8" x14ac:dyDescent="0.35">
      <c r="F367" s="76">
        <v>36.499999999999901</v>
      </c>
      <c r="G367" s="77">
        <v>2.5588399729823887E-2</v>
      </c>
      <c r="H367" s="78">
        <v>2.256443004781335E-2</v>
      </c>
    </row>
    <row r="368" spans="6:8" x14ac:dyDescent="0.35">
      <c r="F368" s="76">
        <v>36.599999999999902</v>
      </c>
      <c r="G368" s="77">
        <v>2.5535546679732492E-2</v>
      </c>
      <c r="H368" s="78">
        <v>2.2517791762245019E-2</v>
      </c>
    </row>
    <row r="369" spans="6:8" x14ac:dyDescent="0.35">
      <c r="F369" s="76">
        <v>36.699999999999903</v>
      </c>
      <c r="G369" s="77">
        <v>2.5482837840052435E-2</v>
      </c>
      <c r="H369" s="78">
        <v>2.2471281078164592E-2</v>
      </c>
    </row>
    <row r="370" spans="6:8" x14ac:dyDescent="0.35">
      <c r="F370" s="76">
        <v>36.799999999999898</v>
      </c>
      <c r="G370" s="77">
        <v>2.543027242596374E-2</v>
      </c>
      <c r="H370" s="78">
        <v>2.2424897299246144E-2</v>
      </c>
    </row>
    <row r="371" spans="6:8" x14ac:dyDescent="0.35">
      <c r="F371" s="76">
        <v>36.899999999999899</v>
      </c>
      <c r="G371" s="77">
        <v>2.5377849659035653E-2</v>
      </c>
      <c r="H371" s="78">
        <v>2.2378639734848091E-2</v>
      </c>
    </row>
    <row r="372" spans="6:8" x14ac:dyDescent="0.35">
      <c r="F372" s="76">
        <v>36.999999999999901</v>
      </c>
      <c r="G372" s="77">
        <v>2.5325568767157674E-2</v>
      </c>
      <c r="H372" s="78">
        <v>2.2332507699951376E-2</v>
      </c>
    </row>
    <row r="373" spans="6:8" x14ac:dyDescent="0.35">
      <c r="F373" s="76">
        <v>37.099999999999902</v>
      </c>
      <c r="G373" s="77">
        <v>2.5273428984471165E-2</v>
      </c>
      <c r="H373" s="78">
        <v>2.2286500515098753E-2</v>
      </c>
    </row>
    <row r="374" spans="6:8" x14ac:dyDescent="0.35">
      <c r="F374" s="76">
        <v>37.199999999999903</v>
      </c>
      <c r="G374" s="77">
        <v>2.5221429551302115E-2</v>
      </c>
      <c r="H374" s="78">
        <v>2.2240617506334624E-2</v>
      </c>
    </row>
    <row r="375" spans="6:8" x14ac:dyDescent="0.35">
      <c r="F375" s="76">
        <v>37.299999999999898</v>
      </c>
      <c r="G375" s="77">
        <v>2.5169569714094713E-2</v>
      </c>
      <c r="H375" s="78">
        <v>2.2194858005145861E-2</v>
      </c>
    </row>
    <row r="376" spans="6:8" x14ac:dyDescent="0.35">
      <c r="F376" s="76">
        <v>37.399999999999899</v>
      </c>
      <c r="G376" s="77">
        <v>2.5117848725345792E-2</v>
      </c>
      <c r="H376" s="78">
        <v>2.2149221348403348E-2</v>
      </c>
    </row>
    <row r="377" spans="6:8" x14ac:dyDescent="0.35">
      <c r="F377" s="76">
        <v>37.499999999999901</v>
      </c>
      <c r="G377" s="77">
        <v>2.5066265843540259E-2</v>
      </c>
      <c r="H377" s="78">
        <v>2.2103706878304298E-2</v>
      </c>
    </row>
    <row r="378" spans="6:8" x14ac:dyDescent="0.35">
      <c r="F378" s="76">
        <v>37.599999999999902</v>
      </c>
      <c r="G378" s="77">
        <v>2.5014820333087225E-2</v>
      </c>
      <c r="H378" s="78">
        <v>2.2058313942315427E-2</v>
      </c>
    </row>
    <row r="379" spans="6:8" x14ac:dyDescent="0.35">
      <c r="F379" s="76">
        <v>37.699999999999903</v>
      </c>
      <c r="G379" s="77">
        <v>2.4963511464257078E-2</v>
      </c>
      <c r="H379" s="78">
        <v>2.2013041893116758E-2</v>
      </c>
    </row>
    <row r="380" spans="6:8" x14ac:dyDescent="0.35">
      <c r="F380" s="76">
        <v>37.799999999999898</v>
      </c>
      <c r="G380" s="77">
        <v>2.4912338513119421E-2</v>
      </c>
      <c r="H380" s="78">
        <v>2.196789008854623E-2</v>
      </c>
    </row>
    <row r="381" spans="6:8" x14ac:dyDescent="0.35">
      <c r="F381" s="76">
        <v>37.899999999999899</v>
      </c>
      <c r="G381" s="77">
        <v>2.4861300761481769E-2</v>
      </c>
      <c r="H381" s="78">
        <v>2.1922857891545092E-2</v>
      </c>
    </row>
    <row r="382" spans="6:8" x14ac:dyDescent="0.35">
      <c r="F382" s="76">
        <v>37.999999999999901</v>
      </c>
      <c r="G382" s="77">
        <v>2.4810397496829045E-2</v>
      </c>
      <c r="H382" s="78">
        <v>2.1877944670103958E-2</v>
      </c>
    </row>
    <row r="383" spans="6:8" x14ac:dyDescent="0.35">
      <c r="F383" s="76">
        <v>38.099999999999902</v>
      </c>
      <c r="G383" s="77">
        <v>2.4759628012263907E-2</v>
      </c>
      <c r="H383" s="78">
        <v>2.1833149797209558E-2</v>
      </c>
    </row>
    <row r="384" spans="6:8" x14ac:dyDescent="0.35">
      <c r="F384" s="76">
        <v>38.199999999999903</v>
      </c>
      <c r="G384" s="77">
        <v>2.4708991606447871E-2</v>
      </c>
      <c r="H384" s="78">
        <v>2.1788472650792239E-2</v>
      </c>
    </row>
    <row r="385" spans="6:8" x14ac:dyDescent="0.35">
      <c r="F385" s="76">
        <v>38.299999999999898</v>
      </c>
      <c r="G385" s="77">
        <v>2.4658487583543137E-2</v>
      </c>
      <c r="H385" s="78">
        <v>2.1743912613674126E-2</v>
      </c>
    </row>
    <row r="386" spans="6:8" x14ac:dyDescent="0.35">
      <c r="F386" s="76">
        <v>38.3999999999998</v>
      </c>
      <c r="G386" s="77">
        <v>2.4608115253155302E-2</v>
      </c>
      <c r="H386" s="78">
        <v>2.1699469073517962E-2</v>
      </c>
    </row>
    <row r="387" spans="6:8" x14ac:dyDescent="0.35">
      <c r="F387" s="76">
        <v>38.499999999999801</v>
      </c>
      <c r="G387" s="77">
        <v>2.4557873930276527E-2</v>
      </c>
      <c r="H387" s="78">
        <v>2.1655141422776667E-2</v>
      </c>
    </row>
    <row r="388" spans="6:8" x14ac:dyDescent="0.35">
      <c r="F388" s="76">
        <v>38.599999999999802</v>
      </c>
      <c r="G388" s="77">
        <v>2.4507762935229896E-2</v>
      </c>
      <c r="H388" s="78">
        <v>2.1610929058643345E-2</v>
      </c>
    </row>
    <row r="389" spans="6:8" x14ac:dyDescent="0.35">
      <c r="F389" s="76">
        <v>38.699999999999797</v>
      </c>
      <c r="G389" s="77">
        <v>2.4457781593614149E-2</v>
      </c>
      <c r="H389" s="78">
        <v>2.1566831383002309E-2</v>
      </c>
    </row>
    <row r="390" spans="6:8" x14ac:dyDescent="0.35">
      <c r="F390" s="76">
        <v>38.799999999999798</v>
      </c>
      <c r="G390" s="77">
        <v>2.4407929236249144E-2</v>
      </c>
      <c r="H390" s="78">
        <v>2.1522847802380451E-2</v>
      </c>
    </row>
    <row r="391" spans="6:8" x14ac:dyDescent="0.35">
      <c r="F391" s="76">
        <v>38.8999999999998</v>
      </c>
      <c r="G391" s="77">
        <v>2.4358205199122178E-2</v>
      </c>
      <c r="H391" s="78">
        <v>2.1478977727899248E-2</v>
      </c>
    </row>
    <row r="392" spans="6:8" x14ac:dyDescent="0.35">
      <c r="F392" s="76">
        <v>38.999999999999801</v>
      </c>
      <c r="G392" s="77">
        <v>2.4308608823334951E-2</v>
      </c>
      <c r="H392" s="78">
        <v>2.1435220575227516E-2</v>
      </c>
    </row>
    <row r="393" spans="6:8" x14ac:dyDescent="0.35">
      <c r="F393" s="76">
        <v>39.099999999999802</v>
      </c>
      <c r="G393" s="77">
        <v>2.4259139455051093E-2</v>
      </c>
      <c r="H393" s="78">
        <v>2.1391575764534758E-2</v>
      </c>
    </row>
    <row r="394" spans="6:8" x14ac:dyDescent="0.35">
      <c r="F394" s="76">
        <v>39.199999999999797</v>
      </c>
      <c r="G394" s="77">
        <v>2.4209796445444479E-2</v>
      </c>
      <c r="H394" s="78">
        <v>2.1348042720444962E-2</v>
      </c>
    </row>
    <row r="395" spans="6:8" x14ac:dyDescent="0.35">
      <c r="F395" s="76">
        <v>39.299999999999798</v>
      </c>
      <c r="G395" s="77">
        <v>2.4160579150648211E-2</v>
      </c>
      <c r="H395" s="78">
        <v>2.1304620871991142E-2</v>
      </c>
    </row>
    <row r="396" spans="6:8" x14ac:dyDescent="0.35">
      <c r="F396" s="76">
        <v>39.3999999999998</v>
      </c>
      <c r="G396" s="77">
        <v>2.4111486931704146E-2</v>
      </c>
      <c r="H396" s="78">
        <v>2.1261309652570424E-2</v>
      </c>
    </row>
    <row r="397" spans="6:8" x14ac:dyDescent="0.35">
      <c r="F397" s="76">
        <v>39.499999999999801</v>
      </c>
      <c r="G397" s="77">
        <v>2.4062519154513129E-2</v>
      </c>
      <c r="H397" s="78">
        <v>2.1218108499899649E-2</v>
      </c>
    </row>
    <row r="398" spans="6:8" x14ac:dyDescent="0.35">
      <c r="F398" s="76">
        <v>39.599999999999802</v>
      </c>
      <c r="G398" s="77">
        <v>2.4013675189785928E-2</v>
      </c>
      <c r="H398" s="78">
        <v>2.1175016855971552E-2</v>
      </c>
    </row>
    <row r="399" spans="6:8" x14ac:dyDescent="0.35">
      <c r="F399" s="76">
        <v>39.699999999999797</v>
      </c>
      <c r="G399" s="77">
        <v>2.396495441299459E-2</v>
      </c>
      <c r="H399" s="78">
        <v>2.1132034167011617E-2</v>
      </c>
    </row>
    <row r="400" spans="6:8" x14ac:dyDescent="0.35">
      <c r="F400" s="76">
        <v>39.799999999999798</v>
      </c>
      <c r="G400" s="77">
        <v>2.391635620432463E-2</v>
      </c>
      <c r="H400" s="78">
        <v>2.1089159883435238E-2</v>
      </c>
    </row>
    <row r="401" spans="6:8" x14ac:dyDescent="0.35">
      <c r="F401" s="76">
        <v>39.8999999999998</v>
      </c>
      <c r="G401" s="77">
        <v>2.3867879948627671E-2</v>
      </c>
      <c r="H401" s="78">
        <v>2.1046393459805673E-2</v>
      </c>
    </row>
    <row r="402" spans="6:8" x14ac:dyDescent="0.35">
      <c r="F402" s="76">
        <v>39.999999999999801</v>
      </c>
      <c r="G402" s="77">
        <v>2.3819525035374722E-2</v>
      </c>
      <c r="H402" s="78">
        <v>2.1003734354792351E-2</v>
      </c>
    </row>
    <row r="403" spans="6:8" x14ac:dyDescent="0.35">
      <c r="F403" s="76"/>
      <c r="G403" s="76"/>
      <c r="H403" s="78"/>
    </row>
    <row r="404" spans="6:8" x14ac:dyDescent="0.35">
      <c r="F404" s="76"/>
      <c r="G404" s="76"/>
      <c r="H404" s="78"/>
    </row>
    <row r="405" spans="6:8" x14ac:dyDescent="0.35">
      <c r="F405" s="76"/>
      <c r="G405" s="76"/>
      <c r="H405" s="78"/>
    </row>
    <row r="406" spans="6:8" x14ac:dyDescent="0.35">
      <c r="F406" s="76"/>
      <c r="G406" s="76"/>
      <c r="H406" s="78"/>
    </row>
    <row r="407" spans="6:8" x14ac:dyDescent="0.35">
      <c r="F407" s="76"/>
      <c r="G407" s="76"/>
      <c r="H407" s="78"/>
    </row>
    <row r="408" spans="6:8" x14ac:dyDescent="0.35">
      <c r="F408" s="76"/>
      <c r="G408" s="76"/>
      <c r="H408" s="78"/>
    </row>
    <row r="409" spans="6:8" x14ac:dyDescent="0.35">
      <c r="F409" s="76"/>
      <c r="G409" s="76"/>
      <c r="H409" s="78"/>
    </row>
    <row r="410" spans="6:8" x14ac:dyDescent="0.35">
      <c r="F410" s="76"/>
      <c r="G410" s="76"/>
      <c r="H410" s="78"/>
    </row>
    <row r="411" spans="6:8" x14ac:dyDescent="0.35">
      <c r="F411" s="76"/>
      <c r="G411" s="76"/>
      <c r="H411" s="78"/>
    </row>
    <row r="412" spans="6:8" x14ac:dyDescent="0.35">
      <c r="F412" s="76"/>
      <c r="G412" s="76"/>
      <c r="H412" s="78"/>
    </row>
    <row r="413" spans="6:8" x14ac:dyDescent="0.35">
      <c r="F413" s="76"/>
      <c r="G413" s="76"/>
      <c r="H413" s="78"/>
    </row>
    <row r="414" spans="6:8" x14ac:dyDescent="0.35">
      <c r="F414" s="76"/>
      <c r="G414" s="76"/>
      <c r="H414" s="78"/>
    </row>
    <row r="415" spans="6:8" x14ac:dyDescent="0.35">
      <c r="F415" s="76"/>
      <c r="G415" s="76"/>
      <c r="H415" s="78"/>
    </row>
    <row r="416" spans="6:8" x14ac:dyDescent="0.35">
      <c r="F416" s="76"/>
      <c r="G416" s="76"/>
      <c r="H416" s="78"/>
    </row>
    <row r="417" spans="6:8" x14ac:dyDescent="0.35">
      <c r="F417" s="76"/>
      <c r="G417" s="76"/>
      <c r="H417" s="78"/>
    </row>
    <row r="418" spans="6:8" x14ac:dyDescent="0.35">
      <c r="F418" s="76"/>
      <c r="G418" s="76"/>
      <c r="H418" s="78"/>
    </row>
    <row r="419" spans="6:8" x14ac:dyDescent="0.35">
      <c r="F419" s="76"/>
      <c r="G419" s="76"/>
      <c r="H419" s="78"/>
    </row>
    <row r="420" spans="6:8" x14ac:dyDescent="0.35">
      <c r="F420" s="76"/>
      <c r="G420" s="76"/>
      <c r="H420" s="78"/>
    </row>
    <row r="421" spans="6:8" x14ac:dyDescent="0.35">
      <c r="F421" s="76"/>
      <c r="G421" s="76"/>
      <c r="H421" s="78"/>
    </row>
    <row r="422" spans="6:8" x14ac:dyDescent="0.35">
      <c r="F422" s="76"/>
      <c r="G422" s="76"/>
      <c r="H422" s="78"/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57368c21-b8cf-42cf-bd0b-43ecd4bc62ae}" enabled="0" method="" siteId="{57368c21-b8cf-42cf-bd0b-43ecd4bc62a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VALIDACIÓN </vt:lpstr>
      <vt:lpstr>Resumen</vt:lpstr>
      <vt:lpstr>Tabla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Nutreco</dc:creator>
  <cp:keywords/>
  <dc:description/>
  <cp:lastModifiedBy>Franz Rafael Novillo Torres</cp:lastModifiedBy>
  <cp:revision/>
  <dcterms:created xsi:type="dcterms:W3CDTF">2021-04-16T01:19:59Z</dcterms:created>
  <dcterms:modified xsi:type="dcterms:W3CDTF">2026-06-16T14:52:32Z</dcterms:modified>
  <cp:category/>
  <cp:contentStatus/>
</cp:coreProperties>
</file>